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bconnect-my.sharepoint.com/personal/fredy_mendez_grupobimbo_com/Documents/FREDY ALEXANDER MENDEZ GONZALEZ/FREDY MENDEZ_MAFRA/2026/METAS/"/>
    </mc:Choice>
  </mc:AlternateContent>
  <xr:revisionPtr revIDLastSave="2462" documentId="8_{413ADF55-C67E-4A44-9566-A89DEEBAC7B5}" xr6:coauthVersionLast="47" xr6:coauthVersionMax="47" xr10:uidLastSave="{D2D45FCE-90F3-4899-8463-42A02661713C}"/>
  <bookViews>
    <workbookView xWindow="-120" yWindow="-120" windowWidth="38640" windowHeight="15720" tabRatio="801" activeTab="6" xr2:uid="{00000000-000D-0000-FFFF-FFFF00000000}"/>
  </bookViews>
  <sheets>
    <sheet name="OEE2" sheetId="1" r:id="rId1"/>
    <sheet name="R. DESPERDICIOS (2)" sheetId="4" state="hidden" r:id="rId2"/>
    <sheet name="OEE2 (FORMULA)" sheetId="8" r:id="rId3"/>
    <sheet name="PT" sheetId="9" r:id="rId4"/>
    <sheet name="PT (FORMULA)" sheetId="6" r:id="rId5"/>
    <sheet name="DT PPM" sheetId="5" state="hidden" r:id="rId6"/>
    <sheet name="RESUMEN" sheetId="3" r:id="rId7"/>
    <sheet name="INFORME EJECUTIVO" sheetId="12" r:id="rId8"/>
  </sheets>
  <definedNames>
    <definedName name="_xlnm._FilterDatabase" localSheetId="0" hidden="1">'OEE2'!$A$2:$X$2</definedName>
    <definedName name="_xlnm._FilterDatabase" localSheetId="2" hidden="1">'OEE2 (FORMULA)'!$A$2:$X$2</definedName>
    <definedName name="_xlnm._FilterDatabase" localSheetId="3" hidden="1">PT!$B$2:$AC$59</definedName>
    <definedName name="_xlnm._FilterDatabase" localSheetId="4" hidden="1">'PT (FORMULA)'!$B$2:$AC$59</definedName>
    <definedName name="_xlnm.Print_Area" localSheetId="7">'INFORME EJECUTIVO'!$A$1:$U$63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3" l="1"/>
  <c r="AC59" i="9"/>
  <c r="AA59" i="9" s="1"/>
  <c r="AB59" i="9"/>
  <c r="AC58" i="9"/>
  <c r="AA58" i="9" s="1"/>
  <c r="AB58" i="9"/>
  <c r="AC57" i="9"/>
  <c r="AA57" i="9" s="1"/>
  <c r="AB57" i="9"/>
  <c r="AC56" i="9"/>
  <c r="AB56" i="9"/>
  <c r="AA56" i="9"/>
  <c r="AC55" i="9"/>
  <c r="AA55" i="9" s="1"/>
  <c r="AB55" i="9"/>
  <c r="AC54" i="9"/>
  <c r="AA54" i="9" s="1"/>
  <c r="AB54" i="9"/>
  <c r="AC53" i="9"/>
  <c r="AA53" i="9" s="1"/>
  <c r="AB53" i="9"/>
  <c r="AC52" i="9"/>
  <c r="AA52" i="9" s="1"/>
  <c r="AB52" i="9"/>
  <c r="AC51" i="9"/>
  <c r="AA51" i="9" s="1"/>
  <c r="AB51" i="9"/>
  <c r="AC50" i="9"/>
  <c r="AA50" i="9" s="1"/>
  <c r="AB50" i="9"/>
  <c r="AC49" i="9"/>
  <c r="AA49" i="9" s="1"/>
  <c r="AB49" i="9"/>
  <c r="AC48" i="9"/>
  <c r="AA48" i="9" s="1"/>
  <c r="AB48" i="9"/>
  <c r="AC47" i="9"/>
  <c r="AA47" i="9" s="1"/>
  <c r="AB47" i="9"/>
  <c r="AC46" i="9"/>
  <c r="AA46" i="9" s="1"/>
  <c r="AB46" i="9"/>
  <c r="AC45" i="9"/>
  <c r="AA45" i="9" s="1"/>
  <c r="AB45" i="9"/>
  <c r="AC44" i="9"/>
  <c r="AA44" i="9" s="1"/>
  <c r="AB44" i="9"/>
  <c r="AC43" i="9"/>
  <c r="AB43" i="9"/>
  <c r="AA43" i="9"/>
  <c r="AC42" i="9"/>
  <c r="AB42" i="9"/>
  <c r="AA42" i="9"/>
  <c r="AC41" i="9"/>
  <c r="AA41" i="9" s="1"/>
  <c r="AB41" i="9"/>
  <c r="AC40" i="9"/>
  <c r="AA40" i="9" s="1"/>
  <c r="AB40" i="9"/>
  <c r="AC39" i="9"/>
  <c r="AA39" i="9" s="1"/>
  <c r="AB39" i="9"/>
  <c r="AC38" i="9"/>
  <c r="AA38" i="9" s="1"/>
  <c r="AB38" i="9"/>
  <c r="AC37" i="9"/>
  <c r="AA37" i="9" s="1"/>
  <c r="AB37" i="9"/>
  <c r="AC36" i="9"/>
  <c r="AA36" i="9" s="1"/>
  <c r="AB36" i="9"/>
  <c r="AC35" i="9"/>
  <c r="AA35" i="9" s="1"/>
  <c r="AB35" i="9"/>
  <c r="AC34" i="9"/>
  <c r="AA34" i="9" s="1"/>
  <c r="AB34" i="9"/>
  <c r="AC33" i="9"/>
  <c r="AA33" i="9" s="1"/>
  <c r="AB33" i="9"/>
  <c r="AC32" i="9"/>
  <c r="AA32" i="9" s="1"/>
  <c r="AB32" i="9"/>
  <c r="AC31" i="9"/>
  <c r="AA31" i="9" s="1"/>
  <c r="AB31" i="9"/>
  <c r="AC30" i="9"/>
  <c r="AA30" i="9" s="1"/>
  <c r="AB30" i="9"/>
  <c r="AC29" i="9"/>
  <c r="AA29" i="9" s="1"/>
  <c r="AB29" i="9"/>
  <c r="AC28" i="9"/>
  <c r="AA28" i="9" s="1"/>
  <c r="AB28" i="9"/>
  <c r="AC27" i="9"/>
  <c r="AA27" i="9" s="1"/>
  <c r="AB27" i="9"/>
  <c r="AC26" i="9"/>
  <c r="AB26" i="9"/>
  <c r="AA26" i="9"/>
  <c r="AC25" i="9"/>
  <c r="AA25" i="9" s="1"/>
  <c r="AB25" i="9"/>
  <c r="AC24" i="9"/>
  <c r="AB24" i="9"/>
  <c r="AA24" i="9"/>
  <c r="AC23" i="9"/>
  <c r="AA23" i="9" s="1"/>
  <c r="AB23" i="9"/>
  <c r="AC22" i="9"/>
  <c r="AA22" i="9" s="1"/>
  <c r="AB22" i="9"/>
  <c r="AC21" i="9"/>
  <c r="AB21" i="9"/>
  <c r="AA21" i="9"/>
  <c r="AC20" i="9"/>
  <c r="AB20" i="9"/>
  <c r="AA20" i="9"/>
  <c r="AC19" i="9"/>
  <c r="AB19" i="9"/>
  <c r="AA19" i="9"/>
  <c r="AC18" i="9"/>
  <c r="AA18" i="9" s="1"/>
  <c r="AB18" i="9"/>
  <c r="AC17" i="9"/>
  <c r="AA17" i="9" s="1"/>
  <c r="AB17" i="9"/>
  <c r="AC16" i="9"/>
  <c r="AA16" i="9" s="1"/>
  <c r="AB16" i="9"/>
  <c r="AC15" i="9"/>
  <c r="AB15" i="9"/>
  <c r="AA15" i="9"/>
  <c r="AC14" i="9"/>
  <c r="AA14" i="9" s="1"/>
  <c r="AB14" i="9"/>
  <c r="AC13" i="9"/>
  <c r="AB13" i="9"/>
  <c r="AA13" i="9"/>
  <c r="AC12" i="9"/>
  <c r="AA12" i="9" s="1"/>
  <c r="AB12" i="9"/>
  <c r="AC11" i="9"/>
  <c r="AB11" i="9"/>
  <c r="AA11" i="9"/>
  <c r="AC10" i="9"/>
  <c r="AB10" i="9"/>
  <c r="AA10" i="9"/>
  <c r="AC9" i="9"/>
  <c r="AA9" i="9" s="1"/>
  <c r="AB9" i="9"/>
  <c r="AC8" i="9"/>
  <c r="AA8" i="9" s="1"/>
  <c r="AB8" i="9"/>
  <c r="AC7" i="9"/>
  <c r="AA7" i="9" s="1"/>
  <c r="AB7" i="9"/>
  <c r="AC6" i="9"/>
  <c r="AA6" i="9" s="1"/>
  <c r="AB6" i="9"/>
  <c r="AC5" i="9"/>
  <c r="AA5" i="9" s="1"/>
  <c r="AB5" i="9"/>
  <c r="AC4" i="9"/>
  <c r="AA4" i="9" s="1"/>
  <c r="AB4" i="9"/>
  <c r="B48" i="12"/>
  <c r="C48" i="12"/>
  <c r="D48" i="12"/>
  <c r="E48" i="12"/>
  <c r="S56" i="12"/>
  <c r="R56" i="12"/>
  <c r="Q56" i="12"/>
  <c r="P56" i="12"/>
  <c r="O56" i="12"/>
  <c r="N56" i="12"/>
  <c r="S55" i="12"/>
  <c r="R55" i="12"/>
  <c r="Q55" i="12"/>
  <c r="P55" i="12"/>
  <c r="O55" i="12"/>
  <c r="N55" i="12"/>
  <c r="S54" i="12"/>
  <c r="R54" i="12"/>
  <c r="Q54" i="12"/>
  <c r="P54" i="12"/>
  <c r="O54" i="12"/>
  <c r="N54" i="12"/>
  <c r="S53" i="12"/>
  <c r="R53" i="12"/>
  <c r="Q53" i="12"/>
  <c r="P53" i="12"/>
  <c r="O53" i="12"/>
  <c r="N53" i="12"/>
  <c r="S52" i="12"/>
  <c r="R52" i="12"/>
  <c r="Q52" i="12"/>
  <c r="P52" i="12"/>
  <c r="O52" i="12"/>
  <c r="N52" i="12"/>
  <c r="S51" i="12"/>
  <c r="R51" i="12"/>
  <c r="Q51" i="12"/>
  <c r="P51" i="12"/>
  <c r="O51" i="12"/>
  <c r="N51" i="12"/>
  <c r="S50" i="12"/>
  <c r="R50" i="12"/>
  <c r="Q50" i="12"/>
  <c r="P50" i="12"/>
  <c r="O50" i="12"/>
  <c r="N50" i="12"/>
  <c r="S49" i="12"/>
  <c r="R49" i="12"/>
  <c r="Q49" i="12"/>
  <c r="P49" i="12"/>
  <c r="O49" i="12"/>
  <c r="N49" i="12"/>
  <c r="S48" i="12"/>
  <c r="R48" i="12"/>
  <c r="Q48" i="12"/>
  <c r="P48" i="12"/>
  <c r="O48" i="12"/>
  <c r="N48" i="12"/>
  <c r="S47" i="12"/>
  <c r="R47" i="12"/>
  <c r="Q47" i="12"/>
  <c r="P47" i="12"/>
  <c r="O47" i="12"/>
  <c r="N47" i="12"/>
  <c r="S46" i="12"/>
  <c r="R46" i="12"/>
  <c r="Q46" i="12"/>
  <c r="P46" i="12"/>
  <c r="O46" i="12"/>
  <c r="N46" i="12"/>
  <c r="S45" i="12"/>
  <c r="R45" i="12"/>
  <c r="Q45" i="12"/>
  <c r="P45" i="12"/>
  <c r="O45" i="12"/>
  <c r="N45" i="12"/>
  <c r="S44" i="12"/>
  <c r="R44" i="12"/>
  <c r="Q44" i="12"/>
  <c r="P44" i="12"/>
  <c r="O44" i="12"/>
  <c r="N44" i="12"/>
  <c r="S43" i="12"/>
  <c r="R43" i="12"/>
  <c r="Q43" i="12"/>
  <c r="P43" i="12"/>
  <c r="O43" i="12"/>
  <c r="N43" i="12"/>
  <c r="S42" i="12"/>
  <c r="R42" i="12"/>
  <c r="Q42" i="12"/>
  <c r="P42" i="12"/>
  <c r="O42" i="12"/>
  <c r="N42" i="12"/>
  <c r="S41" i="12"/>
  <c r="R41" i="12"/>
  <c r="Q41" i="12"/>
  <c r="P41" i="12"/>
  <c r="O41" i="12"/>
  <c r="N41" i="12"/>
  <c r="S40" i="12"/>
  <c r="R40" i="12"/>
  <c r="Q40" i="12"/>
  <c r="P40" i="12"/>
  <c r="O40" i="12"/>
  <c r="N40" i="12"/>
  <c r="S39" i="12"/>
  <c r="R39" i="12"/>
  <c r="Q39" i="12"/>
  <c r="P39" i="12"/>
  <c r="O39" i="12"/>
  <c r="N39" i="12"/>
  <c r="S38" i="12"/>
  <c r="R38" i="12"/>
  <c r="Q38" i="12"/>
  <c r="P38" i="12"/>
  <c r="O38" i="12"/>
  <c r="N38" i="12"/>
  <c r="S37" i="12"/>
  <c r="R37" i="12"/>
  <c r="Q37" i="12"/>
  <c r="P37" i="12"/>
  <c r="O37" i="12"/>
  <c r="N37" i="12"/>
  <c r="S36" i="12"/>
  <c r="R36" i="12"/>
  <c r="Q36" i="12"/>
  <c r="P36" i="12"/>
  <c r="O36" i="12"/>
  <c r="N36" i="12"/>
  <c r="S35" i="12"/>
  <c r="R35" i="12"/>
  <c r="Q35" i="12"/>
  <c r="P35" i="12"/>
  <c r="O35" i="12"/>
  <c r="N35" i="12"/>
  <c r="S34" i="12"/>
  <c r="R34" i="12"/>
  <c r="Q34" i="12"/>
  <c r="P34" i="12"/>
  <c r="O34" i="12"/>
  <c r="N34" i="12"/>
  <c r="S33" i="12"/>
  <c r="R33" i="12"/>
  <c r="Q33" i="12"/>
  <c r="P33" i="12"/>
  <c r="O33" i="12"/>
  <c r="N33" i="12"/>
  <c r="S32" i="12"/>
  <c r="R32" i="12"/>
  <c r="Q32" i="12"/>
  <c r="P32" i="12"/>
  <c r="O32" i="12"/>
  <c r="N32" i="12"/>
  <c r="S31" i="12"/>
  <c r="R31" i="12"/>
  <c r="Q31" i="12"/>
  <c r="P31" i="12"/>
  <c r="O31" i="12"/>
  <c r="N31" i="12"/>
  <c r="S30" i="12"/>
  <c r="R30" i="12"/>
  <c r="Q30" i="12"/>
  <c r="P30" i="12"/>
  <c r="O30" i="12"/>
  <c r="N30" i="12"/>
  <c r="S29" i="12"/>
  <c r="R29" i="12"/>
  <c r="Q29" i="12"/>
  <c r="P29" i="12"/>
  <c r="O29" i="12"/>
  <c r="N29" i="12"/>
  <c r="S28" i="12"/>
  <c r="R28" i="12"/>
  <c r="Q28" i="12"/>
  <c r="P28" i="12"/>
  <c r="O28" i="12"/>
  <c r="N28" i="12"/>
  <c r="S27" i="12"/>
  <c r="R27" i="12"/>
  <c r="Q27" i="12"/>
  <c r="P27" i="12"/>
  <c r="O27" i="12"/>
  <c r="N27" i="12"/>
  <c r="S26" i="12"/>
  <c r="R26" i="12"/>
  <c r="Q26" i="12"/>
  <c r="P26" i="12"/>
  <c r="O26" i="12"/>
  <c r="N26" i="12"/>
  <c r="S25" i="12"/>
  <c r="R25" i="12"/>
  <c r="Q25" i="12"/>
  <c r="P25" i="12"/>
  <c r="O25" i="12"/>
  <c r="N25" i="12"/>
  <c r="S24" i="12"/>
  <c r="R24" i="12"/>
  <c r="Q24" i="12"/>
  <c r="P24" i="12"/>
  <c r="O24" i="12"/>
  <c r="N24" i="12"/>
  <c r="S23" i="12"/>
  <c r="R23" i="12"/>
  <c r="Q23" i="12"/>
  <c r="P23" i="12"/>
  <c r="O23" i="12"/>
  <c r="N23" i="12"/>
  <c r="S22" i="12"/>
  <c r="R22" i="12"/>
  <c r="Q22" i="12"/>
  <c r="P22" i="12"/>
  <c r="O22" i="12"/>
  <c r="N22" i="12"/>
  <c r="S21" i="12"/>
  <c r="R21" i="12"/>
  <c r="Q21" i="12"/>
  <c r="P21" i="12"/>
  <c r="O21" i="12"/>
  <c r="N21" i="12"/>
  <c r="S20" i="12"/>
  <c r="R20" i="12"/>
  <c r="Q20" i="12"/>
  <c r="P20" i="12"/>
  <c r="O20" i="12"/>
  <c r="N20" i="12"/>
  <c r="S19" i="12"/>
  <c r="R19" i="12"/>
  <c r="Q19" i="12"/>
  <c r="P19" i="12"/>
  <c r="O19" i="12"/>
  <c r="N19" i="12"/>
  <c r="S18" i="12"/>
  <c r="R18" i="12"/>
  <c r="Q18" i="12"/>
  <c r="P18" i="12"/>
  <c r="O18" i="12"/>
  <c r="N18" i="12"/>
  <c r="S17" i="12"/>
  <c r="R17" i="12"/>
  <c r="Q17" i="12"/>
  <c r="P17" i="12"/>
  <c r="O17" i="12"/>
  <c r="N17" i="12"/>
  <c r="S16" i="12"/>
  <c r="R16" i="12"/>
  <c r="Q16" i="12"/>
  <c r="P16" i="12"/>
  <c r="O16" i="12"/>
  <c r="N16" i="12"/>
  <c r="S15" i="12"/>
  <c r="R15" i="12"/>
  <c r="Q15" i="12"/>
  <c r="P15" i="12"/>
  <c r="O15" i="12"/>
  <c r="N15" i="12"/>
  <c r="S14" i="12"/>
  <c r="R14" i="12"/>
  <c r="Q14" i="12"/>
  <c r="P14" i="12"/>
  <c r="O14" i="12"/>
  <c r="N14" i="12"/>
  <c r="S13" i="12"/>
  <c r="R13" i="12"/>
  <c r="Q13" i="12"/>
  <c r="P13" i="12"/>
  <c r="O13" i="12"/>
  <c r="N13" i="12"/>
  <c r="S12" i="12"/>
  <c r="R12" i="12"/>
  <c r="Q12" i="12"/>
  <c r="P12" i="12"/>
  <c r="O12" i="12"/>
  <c r="N12" i="12"/>
  <c r="S11" i="12"/>
  <c r="R11" i="12"/>
  <c r="Q11" i="12"/>
  <c r="P11" i="12"/>
  <c r="O11" i="12"/>
  <c r="N11" i="12"/>
  <c r="S10" i="12"/>
  <c r="R10" i="12"/>
  <c r="Q10" i="12"/>
  <c r="P10" i="12"/>
  <c r="O10" i="12"/>
  <c r="N10" i="12"/>
  <c r="S9" i="12"/>
  <c r="R9" i="12"/>
  <c r="Q9" i="12"/>
  <c r="P9" i="12"/>
  <c r="O9" i="12"/>
  <c r="N9" i="12"/>
  <c r="S8" i="12"/>
  <c r="R8" i="12"/>
  <c r="Q8" i="12"/>
  <c r="P8" i="12"/>
  <c r="O8" i="12"/>
  <c r="N8" i="12"/>
  <c r="S7" i="12"/>
  <c r="R7" i="12"/>
  <c r="Q7" i="12"/>
  <c r="P7" i="12"/>
  <c r="O7" i="12"/>
  <c r="N7" i="12"/>
  <c r="S6" i="12"/>
  <c r="R6" i="12"/>
  <c r="Q6" i="12"/>
  <c r="P6" i="12"/>
  <c r="O6" i="12"/>
  <c r="N6" i="12"/>
  <c r="S5" i="12"/>
  <c r="R5" i="12"/>
  <c r="Q5" i="12"/>
  <c r="P5" i="12"/>
  <c r="O5" i="12"/>
  <c r="N5" i="12"/>
  <c r="S4" i="12"/>
  <c r="R4" i="12"/>
  <c r="Q4" i="12"/>
  <c r="P4" i="12"/>
  <c r="O4" i="12"/>
  <c r="N4" i="12"/>
  <c r="N3" i="12"/>
  <c r="O3" i="12"/>
  <c r="P3" i="12"/>
  <c r="Q3" i="12"/>
  <c r="R3" i="12"/>
  <c r="S3" i="12"/>
  <c r="Q10" i="3"/>
  <c r="F10" i="3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F6" i="8"/>
  <c r="F8" i="8" s="1"/>
  <c r="F5" i="8"/>
  <c r="F4" i="8"/>
  <c r="F3" i="8"/>
  <c r="W59" i="6"/>
  <c r="U59" i="6"/>
  <c r="S59" i="6"/>
  <c r="Q59" i="6"/>
  <c r="O59" i="6"/>
  <c r="L59" i="6"/>
  <c r="K59" i="6"/>
  <c r="J59" i="6"/>
  <c r="I59" i="6"/>
  <c r="H59" i="6"/>
  <c r="G59" i="6"/>
  <c r="F59" i="6"/>
  <c r="E59" i="6"/>
  <c r="D59" i="6"/>
  <c r="C59" i="6"/>
  <c r="AC59" i="6" s="1"/>
  <c r="B59" i="6"/>
  <c r="W58" i="6"/>
  <c r="U58" i="6"/>
  <c r="S58" i="6"/>
  <c r="Q58" i="6"/>
  <c r="O58" i="6"/>
  <c r="L58" i="6"/>
  <c r="K58" i="6"/>
  <c r="J58" i="6"/>
  <c r="I58" i="6"/>
  <c r="H58" i="6"/>
  <c r="G58" i="6"/>
  <c r="F58" i="6"/>
  <c r="E58" i="6"/>
  <c r="D58" i="6"/>
  <c r="C58" i="6"/>
  <c r="B58" i="6"/>
  <c r="W57" i="6"/>
  <c r="U57" i="6"/>
  <c r="S57" i="6"/>
  <c r="Q57" i="6"/>
  <c r="O57" i="6"/>
  <c r="L57" i="6"/>
  <c r="K57" i="6"/>
  <c r="J57" i="6"/>
  <c r="I57" i="6"/>
  <c r="H57" i="6"/>
  <c r="G57" i="6"/>
  <c r="F57" i="6"/>
  <c r="E57" i="6"/>
  <c r="D57" i="6"/>
  <c r="C57" i="6"/>
  <c r="AC57" i="6" s="1"/>
  <c r="B57" i="6"/>
  <c r="W56" i="6"/>
  <c r="U56" i="6"/>
  <c r="S56" i="6"/>
  <c r="Q56" i="6"/>
  <c r="O56" i="6"/>
  <c r="L56" i="6"/>
  <c r="K56" i="6"/>
  <c r="J56" i="6"/>
  <c r="I56" i="6"/>
  <c r="H56" i="6"/>
  <c r="G56" i="6"/>
  <c r="F56" i="6"/>
  <c r="E56" i="6"/>
  <c r="D56" i="6"/>
  <c r="C56" i="6"/>
  <c r="B56" i="6"/>
  <c r="W55" i="6"/>
  <c r="U55" i="6"/>
  <c r="S55" i="6"/>
  <c r="Q55" i="6"/>
  <c r="O55" i="6"/>
  <c r="L55" i="6"/>
  <c r="K55" i="6"/>
  <c r="J55" i="6"/>
  <c r="I55" i="6"/>
  <c r="H55" i="6"/>
  <c r="G55" i="6"/>
  <c r="F55" i="6"/>
  <c r="E55" i="6"/>
  <c r="D55" i="6"/>
  <c r="C55" i="6"/>
  <c r="B55" i="6"/>
  <c r="W54" i="6"/>
  <c r="U54" i="6"/>
  <c r="S54" i="6"/>
  <c r="Q54" i="6"/>
  <c r="O54" i="6"/>
  <c r="L54" i="6"/>
  <c r="K54" i="6"/>
  <c r="J54" i="6"/>
  <c r="I54" i="6"/>
  <c r="H54" i="6"/>
  <c r="G54" i="6"/>
  <c r="F54" i="6"/>
  <c r="E54" i="6"/>
  <c r="D54" i="6"/>
  <c r="C54" i="6"/>
  <c r="AC54" i="6" s="1"/>
  <c r="B54" i="6"/>
  <c r="W53" i="6"/>
  <c r="U53" i="6"/>
  <c r="S53" i="6"/>
  <c r="Q53" i="6"/>
  <c r="O53" i="6"/>
  <c r="L53" i="6"/>
  <c r="K53" i="6"/>
  <c r="J53" i="6"/>
  <c r="I53" i="6"/>
  <c r="H53" i="6"/>
  <c r="G53" i="6"/>
  <c r="F53" i="6"/>
  <c r="E53" i="6"/>
  <c r="D53" i="6"/>
  <c r="C53" i="6"/>
  <c r="AC53" i="6" s="1"/>
  <c r="AA53" i="6" s="1"/>
  <c r="B53" i="6"/>
  <c r="W52" i="6"/>
  <c r="U52" i="6"/>
  <c r="S52" i="6"/>
  <c r="Q52" i="6"/>
  <c r="O52" i="6"/>
  <c r="L52" i="6"/>
  <c r="K52" i="6"/>
  <c r="J52" i="6"/>
  <c r="I52" i="6"/>
  <c r="H52" i="6"/>
  <c r="G52" i="6"/>
  <c r="F52" i="6"/>
  <c r="E52" i="6"/>
  <c r="D52" i="6"/>
  <c r="C52" i="6"/>
  <c r="AC52" i="6" s="1"/>
  <c r="B52" i="6"/>
  <c r="W51" i="6"/>
  <c r="U51" i="6"/>
  <c r="S51" i="6"/>
  <c r="Q51" i="6"/>
  <c r="O51" i="6"/>
  <c r="L51" i="6"/>
  <c r="K51" i="6"/>
  <c r="J51" i="6"/>
  <c r="I51" i="6"/>
  <c r="H51" i="6"/>
  <c r="G51" i="6"/>
  <c r="F51" i="6"/>
  <c r="E51" i="6"/>
  <c r="D51" i="6"/>
  <c r="C51" i="6"/>
  <c r="AC51" i="6" s="1"/>
  <c r="B51" i="6"/>
  <c r="W50" i="6"/>
  <c r="U50" i="6"/>
  <c r="S50" i="6"/>
  <c r="Q50" i="6"/>
  <c r="O50" i="6"/>
  <c r="L50" i="6"/>
  <c r="K50" i="6"/>
  <c r="J50" i="6"/>
  <c r="I50" i="6"/>
  <c r="H50" i="6"/>
  <c r="G50" i="6"/>
  <c r="F50" i="6"/>
  <c r="E50" i="6"/>
  <c r="D50" i="6"/>
  <c r="C50" i="6"/>
  <c r="B50" i="6"/>
  <c r="W49" i="6"/>
  <c r="U49" i="6"/>
  <c r="S49" i="6"/>
  <c r="Q49" i="6"/>
  <c r="O49" i="6"/>
  <c r="L49" i="6"/>
  <c r="K49" i="6"/>
  <c r="J49" i="6"/>
  <c r="I49" i="6"/>
  <c r="H49" i="6"/>
  <c r="G49" i="6"/>
  <c r="F49" i="6"/>
  <c r="E49" i="6"/>
  <c r="D49" i="6"/>
  <c r="C49" i="6"/>
  <c r="AC49" i="6" s="1"/>
  <c r="B49" i="6"/>
  <c r="W48" i="6"/>
  <c r="U48" i="6"/>
  <c r="S48" i="6"/>
  <c r="Q48" i="6"/>
  <c r="O48" i="6"/>
  <c r="L48" i="6"/>
  <c r="K48" i="6"/>
  <c r="J48" i="6"/>
  <c r="I48" i="6"/>
  <c r="H48" i="6"/>
  <c r="G48" i="6"/>
  <c r="F48" i="6"/>
  <c r="E48" i="6"/>
  <c r="D48" i="6"/>
  <c r="C48" i="6"/>
  <c r="B48" i="6"/>
  <c r="W47" i="6"/>
  <c r="U47" i="6"/>
  <c r="S47" i="6"/>
  <c r="Q47" i="6"/>
  <c r="O47" i="6"/>
  <c r="L47" i="6"/>
  <c r="K47" i="6"/>
  <c r="J47" i="6"/>
  <c r="I47" i="6"/>
  <c r="H47" i="6"/>
  <c r="G47" i="6"/>
  <c r="F47" i="6"/>
  <c r="E47" i="6"/>
  <c r="D47" i="6"/>
  <c r="C47" i="6"/>
  <c r="B47" i="6"/>
  <c r="W46" i="6"/>
  <c r="U46" i="6"/>
  <c r="S46" i="6"/>
  <c r="Q46" i="6"/>
  <c r="O46" i="6"/>
  <c r="L46" i="6"/>
  <c r="K46" i="6"/>
  <c r="J46" i="6"/>
  <c r="I46" i="6"/>
  <c r="H46" i="6"/>
  <c r="G46" i="6"/>
  <c r="F46" i="6"/>
  <c r="E46" i="6"/>
  <c r="D46" i="6"/>
  <c r="C46" i="6"/>
  <c r="AC46" i="6" s="1"/>
  <c r="AA46" i="6" s="1"/>
  <c r="B46" i="6"/>
  <c r="W45" i="6"/>
  <c r="U45" i="6"/>
  <c r="S45" i="6"/>
  <c r="Q45" i="6"/>
  <c r="O45" i="6"/>
  <c r="L45" i="6"/>
  <c r="K45" i="6"/>
  <c r="J45" i="6"/>
  <c r="I45" i="6"/>
  <c r="H45" i="6"/>
  <c r="G45" i="6"/>
  <c r="F45" i="6"/>
  <c r="E45" i="6"/>
  <c r="D45" i="6"/>
  <c r="C45" i="6"/>
  <c r="AC45" i="6" s="1"/>
  <c r="B45" i="6"/>
  <c r="W44" i="6"/>
  <c r="U44" i="6"/>
  <c r="S44" i="6"/>
  <c r="Q44" i="6"/>
  <c r="O44" i="6"/>
  <c r="L44" i="6"/>
  <c r="K44" i="6"/>
  <c r="J44" i="6"/>
  <c r="I44" i="6"/>
  <c r="H44" i="6"/>
  <c r="G44" i="6"/>
  <c r="F44" i="6"/>
  <c r="E44" i="6"/>
  <c r="D44" i="6"/>
  <c r="C44" i="6"/>
  <c r="AC44" i="6" s="1"/>
  <c r="B44" i="6"/>
  <c r="W43" i="6"/>
  <c r="U43" i="6"/>
  <c r="S43" i="6"/>
  <c r="Q43" i="6"/>
  <c r="O43" i="6"/>
  <c r="L43" i="6"/>
  <c r="K43" i="6"/>
  <c r="J43" i="6"/>
  <c r="I43" i="6"/>
  <c r="H43" i="6"/>
  <c r="G43" i="6"/>
  <c r="F43" i="6"/>
  <c r="E43" i="6"/>
  <c r="D43" i="6"/>
  <c r="C43" i="6"/>
  <c r="AC43" i="6" s="1"/>
  <c r="B43" i="6"/>
  <c r="W42" i="6"/>
  <c r="U42" i="6"/>
  <c r="S42" i="6"/>
  <c r="Q42" i="6"/>
  <c r="O42" i="6"/>
  <c r="L42" i="6"/>
  <c r="K42" i="6"/>
  <c r="J42" i="6"/>
  <c r="I42" i="6"/>
  <c r="H42" i="6"/>
  <c r="G42" i="6"/>
  <c r="F42" i="6"/>
  <c r="E42" i="6"/>
  <c r="D42" i="6"/>
  <c r="C42" i="6"/>
  <c r="AC42" i="6" s="1"/>
  <c r="B42" i="6"/>
  <c r="W41" i="6"/>
  <c r="U41" i="6"/>
  <c r="S41" i="6"/>
  <c r="Q41" i="6"/>
  <c r="O41" i="6"/>
  <c r="L41" i="6"/>
  <c r="K41" i="6"/>
  <c r="J41" i="6"/>
  <c r="I41" i="6"/>
  <c r="H41" i="6"/>
  <c r="G41" i="6"/>
  <c r="F41" i="6"/>
  <c r="E41" i="6"/>
  <c r="D41" i="6"/>
  <c r="C41" i="6"/>
  <c r="B41" i="6"/>
  <c r="W40" i="6"/>
  <c r="U40" i="6"/>
  <c r="S40" i="6"/>
  <c r="Q40" i="6"/>
  <c r="O40" i="6"/>
  <c r="L40" i="6"/>
  <c r="K40" i="6"/>
  <c r="J40" i="6"/>
  <c r="I40" i="6"/>
  <c r="H40" i="6"/>
  <c r="G40" i="6"/>
  <c r="F40" i="6"/>
  <c r="E40" i="6"/>
  <c r="D40" i="6"/>
  <c r="C40" i="6"/>
  <c r="AC40" i="6" s="1"/>
  <c r="B40" i="6"/>
  <c r="W39" i="6"/>
  <c r="U39" i="6"/>
  <c r="S39" i="6"/>
  <c r="Q39" i="6"/>
  <c r="O39" i="6"/>
  <c r="L39" i="6"/>
  <c r="K39" i="6"/>
  <c r="J39" i="6"/>
  <c r="I39" i="6"/>
  <c r="H39" i="6"/>
  <c r="G39" i="6"/>
  <c r="F39" i="6"/>
  <c r="E39" i="6"/>
  <c r="D39" i="6"/>
  <c r="C39" i="6"/>
  <c r="AC39" i="6" s="1"/>
  <c r="B39" i="6"/>
  <c r="W38" i="6"/>
  <c r="U38" i="6"/>
  <c r="S38" i="6"/>
  <c r="Q38" i="6"/>
  <c r="O38" i="6"/>
  <c r="L38" i="6"/>
  <c r="K38" i="6"/>
  <c r="J38" i="6"/>
  <c r="I38" i="6"/>
  <c r="H38" i="6"/>
  <c r="G38" i="6"/>
  <c r="F38" i="6"/>
  <c r="E38" i="6"/>
  <c r="D38" i="6"/>
  <c r="C38" i="6"/>
  <c r="AC38" i="6" s="1"/>
  <c r="B38" i="6"/>
  <c r="W37" i="6"/>
  <c r="U37" i="6"/>
  <c r="S37" i="6"/>
  <c r="Q37" i="6"/>
  <c r="O37" i="6"/>
  <c r="L37" i="6"/>
  <c r="K37" i="6"/>
  <c r="J37" i="6"/>
  <c r="I37" i="6"/>
  <c r="H37" i="6"/>
  <c r="G37" i="6"/>
  <c r="F37" i="6"/>
  <c r="E37" i="6"/>
  <c r="D37" i="6"/>
  <c r="C37" i="6"/>
  <c r="AC37" i="6" s="1"/>
  <c r="B37" i="6"/>
  <c r="W36" i="6"/>
  <c r="U36" i="6"/>
  <c r="S36" i="6"/>
  <c r="Q36" i="6"/>
  <c r="O36" i="6"/>
  <c r="L36" i="6"/>
  <c r="K36" i="6"/>
  <c r="J36" i="6"/>
  <c r="I36" i="6"/>
  <c r="H36" i="6"/>
  <c r="G36" i="6"/>
  <c r="F36" i="6"/>
  <c r="E36" i="6"/>
  <c r="D36" i="6"/>
  <c r="C36" i="6"/>
  <c r="AC36" i="6" s="1"/>
  <c r="B36" i="6"/>
  <c r="W35" i="6"/>
  <c r="U35" i="6"/>
  <c r="S35" i="6"/>
  <c r="Q35" i="6"/>
  <c r="O35" i="6"/>
  <c r="L35" i="6"/>
  <c r="K35" i="6"/>
  <c r="J35" i="6"/>
  <c r="I35" i="6"/>
  <c r="H35" i="6"/>
  <c r="G35" i="6"/>
  <c r="F35" i="6"/>
  <c r="E35" i="6"/>
  <c r="D35" i="6"/>
  <c r="C35" i="6"/>
  <c r="AC35" i="6" s="1"/>
  <c r="B35" i="6"/>
  <c r="W34" i="6"/>
  <c r="U34" i="6"/>
  <c r="S34" i="6"/>
  <c r="Q34" i="6"/>
  <c r="O34" i="6"/>
  <c r="L34" i="6"/>
  <c r="K34" i="6"/>
  <c r="J34" i="6"/>
  <c r="I34" i="6"/>
  <c r="H34" i="6"/>
  <c r="G34" i="6"/>
  <c r="F34" i="6"/>
  <c r="E34" i="6"/>
  <c r="D34" i="6"/>
  <c r="C34" i="6"/>
  <c r="AC34" i="6" s="1"/>
  <c r="B34" i="6"/>
  <c r="W33" i="6"/>
  <c r="U33" i="6"/>
  <c r="S33" i="6"/>
  <c r="Q33" i="6"/>
  <c r="O33" i="6"/>
  <c r="L33" i="6"/>
  <c r="K33" i="6"/>
  <c r="J33" i="6"/>
  <c r="I33" i="6"/>
  <c r="H33" i="6"/>
  <c r="G33" i="6"/>
  <c r="F33" i="6"/>
  <c r="E33" i="6"/>
  <c r="D33" i="6"/>
  <c r="C33" i="6"/>
  <c r="AC33" i="6" s="1"/>
  <c r="B33" i="6"/>
  <c r="W32" i="6"/>
  <c r="U32" i="6"/>
  <c r="S32" i="6"/>
  <c r="Q32" i="6"/>
  <c r="O32" i="6"/>
  <c r="L32" i="6"/>
  <c r="K32" i="6"/>
  <c r="J32" i="6"/>
  <c r="I32" i="6"/>
  <c r="H32" i="6"/>
  <c r="G32" i="6"/>
  <c r="F32" i="6"/>
  <c r="E32" i="6"/>
  <c r="D32" i="6"/>
  <c r="C32" i="6"/>
  <c r="AC32" i="6" s="1"/>
  <c r="B32" i="6"/>
  <c r="W31" i="6"/>
  <c r="U31" i="6"/>
  <c r="S31" i="6"/>
  <c r="Q31" i="6"/>
  <c r="O31" i="6"/>
  <c r="L31" i="6"/>
  <c r="K31" i="6"/>
  <c r="J31" i="6"/>
  <c r="I31" i="6"/>
  <c r="H31" i="6"/>
  <c r="G31" i="6"/>
  <c r="F31" i="6"/>
  <c r="E31" i="6"/>
  <c r="D31" i="6"/>
  <c r="C31" i="6"/>
  <c r="B31" i="6"/>
  <c r="W30" i="6"/>
  <c r="U30" i="6"/>
  <c r="S30" i="6"/>
  <c r="Q30" i="6"/>
  <c r="O30" i="6"/>
  <c r="L30" i="6"/>
  <c r="K30" i="6"/>
  <c r="J30" i="6"/>
  <c r="I30" i="6"/>
  <c r="H30" i="6"/>
  <c r="G30" i="6"/>
  <c r="F30" i="6"/>
  <c r="E30" i="6"/>
  <c r="D30" i="6"/>
  <c r="C30" i="6"/>
  <c r="AC30" i="6" s="1"/>
  <c r="B30" i="6"/>
  <c r="W29" i="6"/>
  <c r="U29" i="6"/>
  <c r="S29" i="6"/>
  <c r="Q29" i="6"/>
  <c r="O29" i="6"/>
  <c r="L29" i="6"/>
  <c r="K29" i="6"/>
  <c r="J29" i="6"/>
  <c r="I29" i="6"/>
  <c r="H29" i="6"/>
  <c r="G29" i="6"/>
  <c r="F29" i="6"/>
  <c r="E29" i="6"/>
  <c r="D29" i="6"/>
  <c r="C29" i="6"/>
  <c r="B29" i="6"/>
  <c r="W28" i="6"/>
  <c r="U28" i="6"/>
  <c r="S28" i="6"/>
  <c r="Q28" i="6"/>
  <c r="O28" i="6"/>
  <c r="L28" i="6"/>
  <c r="K28" i="6"/>
  <c r="J28" i="6"/>
  <c r="I28" i="6"/>
  <c r="H28" i="6"/>
  <c r="G28" i="6"/>
  <c r="F28" i="6"/>
  <c r="E28" i="6"/>
  <c r="D28" i="6"/>
  <c r="C28" i="6"/>
  <c r="AC28" i="6" s="1"/>
  <c r="B28" i="6"/>
  <c r="W27" i="6"/>
  <c r="U27" i="6"/>
  <c r="S27" i="6"/>
  <c r="Q27" i="6"/>
  <c r="O27" i="6"/>
  <c r="L27" i="6"/>
  <c r="K27" i="6"/>
  <c r="J27" i="6"/>
  <c r="I27" i="6"/>
  <c r="H27" i="6"/>
  <c r="G27" i="6"/>
  <c r="F27" i="6"/>
  <c r="E27" i="6"/>
  <c r="D27" i="6"/>
  <c r="C27" i="6"/>
  <c r="AC27" i="6" s="1"/>
  <c r="B27" i="6"/>
  <c r="W26" i="6"/>
  <c r="U26" i="6"/>
  <c r="S26" i="6"/>
  <c r="Q26" i="6"/>
  <c r="O26" i="6"/>
  <c r="L26" i="6"/>
  <c r="K26" i="6"/>
  <c r="J26" i="6"/>
  <c r="I26" i="6"/>
  <c r="H26" i="6"/>
  <c r="G26" i="6"/>
  <c r="F26" i="6"/>
  <c r="E26" i="6"/>
  <c r="D26" i="6"/>
  <c r="C26" i="6"/>
  <c r="AC26" i="6" s="1"/>
  <c r="B26" i="6"/>
  <c r="W25" i="6"/>
  <c r="U25" i="6"/>
  <c r="S25" i="6"/>
  <c r="Q25" i="6"/>
  <c r="O25" i="6"/>
  <c r="L25" i="6"/>
  <c r="K25" i="6"/>
  <c r="J25" i="6"/>
  <c r="I25" i="6"/>
  <c r="H25" i="6"/>
  <c r="G25" i="6"/>
  <c r="F25" i="6"/>
  <c r="E25" i="6"/>
  <c r="D25" i="6"/>
  <c r="C25" i="6"/>
  <c r="AC25" i="6" s="1"/>
  <c r="B25" i="6"/>
  <c r="W24" i="6"/>
  <c r="U24" i="6"/>
  <c r="S24" i="6"/>
  <c r="Q24" i="6"/>
  <c r="O24" i="6"/>
  <c r="L24" i="6"/>
  <c r="K24" i="6"/>
  <c r="J24" i="6"/>
  <c r="I24" i="6"/>
  <c r="H24" i="6"/>
  <c r="G24" i="6"/>
  <c r="F24" i="6"/>
  <c r="E24" i="6"/>
  <c r="D24" i="6"/>
  <c r="C24" i="6"/>
  <c r="B24" i="6"/>
  <c r="W23" i="6"/>
  <c r="U23" i="6"/>
  <c r="S23" i="6"/>
  <c r="Q23" i="6"/>
  <c r="O23" i="6"/>
  <c r="L23" i="6"/>
  <c r="K23" i="6"/>
  <c r="J23" i="6"/>
  <c r="I23" i="6"/>
  <c r="H23" i="6"/>
  <c r="G23" i="6"/>
  <c r="F23" i="6"/>
  <c r="E23" i="6"/>
  <c r="D23" i="6"/>
  <c r="C23" i="6"/>
  <c r="AC23" i="6" s="1"/>
  <c r="B23" i="6"/>
  <c r="W22" i="6"/>
  <c r="U22" i="6"/>
  <c r="S22" i="6"/>
  <c r="Q22" i="6"/>
  <c r="O22" i="6"/>
  <c r="L22" i="6"/>
  <c r="K22" i="6"/>
  <c r="J22" i="6"/>
  <c r="I22" i="6"/>
  <c r="H22" i="6"/>
  <c r="G22" i="6"/>
  <c r="F22" i="6"/>
  <c r="E22" i="6"/>
  <c r="D22" i="6"/>
  <c r="C22" i="6"/>
  <c r="AC22" i="6" s="1"/>
  <c r="B22" i="6"/>
  <c r="W21" i="6"/>
  <c r="U21" i="6"/>
  <c r="S21" i="6"/>
  <c r="Q21" i="6"/>
  <c r="O21" i="6"/>
  <c r="L21" i="6"/>
  <c r="K21" i="6"/>
  <c r="J21" i="6"/>
  <c r="I21" i="6"/>
  <c r="H21" i="6"/>
  <c r="G21" i="6"/>
  <c r="F21" i="6"/>
  <c r="E21" i="6"/>
  <c r="D21" i="6"/>
  <c r="C21" i="6"/>
  <c r="AC21" i="6" s="1"/>
  <c r="B21" i="6"/>
  <c r="W20" i="6"/>
  <c r="U20" i="6"/>
  <c r="S20" i="6"/>
  <c r="Q20" i="6"/>
  <c r="O20" i="6"/>
  <c r="L20" i="6"/>
  <c r="K20" i="6"/>
  <c r="J20" i="6"/>
  <c r="I20" i="6"/>
  <c r="H20" i="6"/>
  <c r="G20" i="6"/>
  <c r="F20" i="6"/>
  <c r="E20" i="6"/>
  <c r="D20" i="6"/>
  <c r="C20" i="6"/>
  <c r="AC20" i="6" s="1"/>
  <c r="B20" i="6"/>
  <c r="W19" i="6"/>
  <c r="U19" i="6"/>
  <c r="S19" i="6"/>
  <c r="Q19" i="6"/>
  <c r="O19" i="6"/>
  <c r="L19" i="6"/>
  <c r="K19" i="6"/>
  <c r="J19" i="6"/>
  <c r="I19" i="6"/>
  <c r="H19" i="6"/>
  <c r="G19" i="6"/>
  <c r="F19" i="6"/>
  <c r="E19" i="6"/>
  <c r="D19" i="6"/>
  <c r="C19" i="6"/>
  <c r="AC19" i="6" s="1"/>
  <c r="B19" i="6"/>
  <c r="W18" i="6"/>
  <c r="U18" i="6"/>
  <c r="S18" i="6"/>
  <c r="Q18" i="6"/>
  <c r="O18" i="6"/>
  <c r="L18" i="6"/>
  <c r="K18" i="6"/>
  <c r="J18" i="6"/>
  <c r="I18" i="6"/>
  <c r="H18" i="6"/>
  <c r="G18" i="6"/>
  <c r="F18" i="6"/>
  <c r="E18" i="6"/>
  <c r="D18" i="6"/>
  <c r="C18" i="6"/>
  <c r="AC18" i="6" s="1"/>
  <c r="B18" i="6"/>
  <c r="W17" i="6"/>
  <c r="U17" i="6"/>
  <c r="S17" i="6"/>
  <c r="Q17" i="6"/>
  <c r="O17" i="6"/>
  <c r="L17" i="6"/>
  <c r="K17" i="6"/>
  <c r="J17" i="6"/>
  <c r="I17" i="6"/>
  <c r="H17" i="6"/>
  <c r="G17" i="6"/>
  <c r="F17" i="6"/>
  <c r="E17" i="6"/>
  <c r="D17" i="6"/>
  <c r="C17" i="6"/>
  <c r="AC17" i="6" s="1"/>
  <c r="B17" i="6"/>
  <c r="W16" i="6"/>
  <c r="U16" i="6"/>
  <c r="S16" i="6"/>
  <c r="Q16" i="6"/>
  <c r="O16" i="6"/>
  <c r="L16" i="6"/>
  <c r="K16" i="6"/>
  <c r="J16" i="6"/>
  <c r="I16" i="6"/>
  <c r="H16" i="6"/>
  <c r="G16" i="6"/>
  <c r="F16" i="6"/>
  <c r="E16" i="6"/>
  <c r="D16" i="6"/>
  <c r="C16" i="6"/>
  <c r="AC16" i="6" s="1"/>
  <c r="B16" i="6"/>
  <c r="W15" i="6"/>
  <c r="U15" i="6"/>
  <c r="S15" i="6"/>
  <c r="Q15" i="6"/>
  <c r="O15" i="6"/>
  <c r="L15" i="6"/>
  <c r="K15" i="6"/>
  <c r="J15" i="6"/>
  <c r="I15" i="6"/>
  <c r="H15" i="6"/>
  <c r="G15" i="6"/>
  <c r="F15" i="6"/>
  <c r="E15" i="6"/>
  <c r="D15" i="6"/>
  <c r="C15" i="6"/>
  <c r="AC15" i="6" s="1"/>
  <c r="B15" i="6"/>
  <c r="W14" i="6"/>
  <c r="U14" i="6"/>
  <c r="S14" i="6"/>
  <c r="Q14" i="6"/>
  <c r="O14" i="6"/>
  <c r="L14" i="6"/>
  <c r="K14" i="6"/>
  <c r="J14" i="6"/>
  <c r="I14" i="6"/>
  <c r="H14" i="6"/>
  <c r="G14" i="6"/>
  <c r="F14" i="6"/>
  <c r="E14" i="6"/>
  <c r="D14" i="6"/>
  <c r="C14" i="6"/>
  <c r="AC14" i="6" s="1"/>
  <c r="B14" i="6"/>
  <c r="W13" i="6"/>
  <c r="U13" i="6"/>
  <c r="S13" i="6"/>
  <c r="Q13" i="6"/>
  <c r="O13" i="6"/>
  <c r="L13" i="6"/>
  <c r="K13" i="6"/>
  <c r="J13" i="6"/>
  <c r="I13" i="6"/>
  <c r="H13" i="6"/>
  <c r="G13" i="6"/>
  <c r="F13" i="6"/>
  <c r="E13" i="6"/>
  <c r="D13" i="6"/>
  <c r="C13" i="6"/>
  <c r="AC13" i="6" s="1"/>
  <c r="B13" i="6"/>
  <c r="W12" i="6"/>
  <c r="U12" i="6"/>
  <c r="S12" i="6"/>
  <c r="Q12" i="6"/>
  <c r="O12" i="6"/>
  <c r="L12" i="6"/>
  <c r="K12" i="6"/>
  <c r="J12" i="6"/>
  <c r="I12" i="6"/>
  <c r="H12" i="6"/>
  <c r="G12" i="6"/>
  <c r="F12" i="6"/>
  <c r="E12" i="6"/>
  <c r="D12" i="6"/>
  <c r="C12" i="6"/>
  <c r="AC12" i="6" s="1"/>
  <c r="B12" i="6"/>
  <c r="W11" i="6"/>
  <c r="U11" i="6"/>
  <c r="S11" i="6"/>
  <c r="Q11" i="6"/>
  <c r="O11" i="6"/>
  <c r="L11" i="6"/>
  <c r="K11" i="6"/>
  <c r="J11" i="6"/>
  <c r="I11" i="6"/>
  <c r="H11" i="6"/>
  <c r="G11" i="6"/>
  <c r="F11" i="6"/>
  <c r="E11" i="6"/>
  <c r="D11" i="6"/>
  <c r="C11" i="6"/>
  <c r="AC11" i="6" s="1"/>
  <c r="B11" i="6"/>
  <c r="W10" i="6"/>
  <c r="U10" i="6"/>
  <c r="S10" i="6"/>
  <c r="Q10" i="6"/>
  <c r="O10" i="6"/>
  <c r="L10" i="6"/>
  <c r="K10" i="6"/>
  <c r="J10" i="6"/>
  <c r="I10" i="6"/>
  <c r="H10" i="6"/>
  <c r="G10" i="6"/>
  <c r="F10" i="6"/>
  <c r="E10" i="6"/>
  <c r="D10" i="6"/>
  <c r="C10" i="6"/>
  <c r="AC10" i="6" s="1"/>
  <c r="B10" i="6"/>
  <c r="W9" i="6"/>
  <c r="U9" i="6"/>
  <c r="S9" i="6"/>
  <c r="Q9" i="6"/>
  <c r="O9" i="6"/>
  <c r="L9" i="6"/>
  <c r="K9" i="6"/>
  <c r="J9" i="6"/>
  <c r="I9" i="6"/>
  <c r="H9" i="6"/>
  <c r="G9" i="6"/>
  <c r="F9" i="6"/>
  <c r="E9" i="6"/>
  <c r="D9" i="6"/>
  <c r="C9" i="6"/>
  <c r="AC9" i="6" s="1"/>
  <c r="B9" i="6"/>
  <c r="W8" i="6"/>
  <c r="U8" i="6"/>
  <c r="S8" i="6"/>
  <c r="Q8" i="6"/>
  <c r="O8" i="6"/>
  <c r="L8" i="6"/>
  <c r="K8" i="6"/>
  <c r="J8" i="6"/>
  <c r="I8" i="6"/>
  <c r="H8" i="6"/>
  <c r="G8" i="6"/>
  <c r="F8" i="6"/>
  <c r="E8" i="6"/>
  <c r="D8" i="6"/>
  <c r="C8" i="6"/>
  <c r="AC8" i="6" s="1"/>
  <c r="B8" i="6"/>
  <c r="W7" i="6"/>
  <c r="U7" i="6"/>
  <c r="S7" i="6"/>
  <c r="Q7" i="6"/>
  <c r="O7" i="6"/>
  <c r="L7" i="6"/>
  <c r="K7" i="6"/>
  <c r="J7" i="6"/>
  <c r="I7" i="6"/>
  <c r="H7" i="6"/>
  <c r="G7" i="6"/>
  <c r="F7" i="6"/>
  <c r="E7" i="6"/>
  <c r="D7" i="6"/>
  <c r="C7" i="6"/>
  <c r="AC7" i="6" s="1"/>
  <c r="B7" i="6"/>
  <c r="W6" i="6"/>
  <c r="U6" i="6"/>
  <c r="S6" i="6"/>
  <c r="Q6" i="6"/>
  <c r="O6" i="6"/>
  <c r="L6" i="6"/>
  <c r="K6" i="6"/>
  <c r="J6" i="6"/>
  <c r="I6" i="6"/>
  <c r="H6" i="6"/>
  <c r="G6" i="6"/>
  <c r="F6" i="6"/>
  <c r="E6" i="6"/>
  <c r="D6" i="6"/>
  <c r="C6" i="6"/>
  <c r="AC6" i="6" s="1"/>
  <c r="B6" i="6"/>
  <c r="W5" i="6"/>
  <c r="U5" i="6"/>
  <c r="S5" i="6"/>
  <c r="Q5" i="6"/>
  <c r="O5" i="6"/>
  <c r="L5" i="6"/>
  <c r="K5" i="6"/>
  <c r="J5" i="6"/>
  <c r="I5" i="6"/>
  <c r="H5" i="6"/>
  <c r="G5" i="6"/>
  <c r="F5" i="6"/>
  <c r="E5" i="6"/>
  <c r="D5" i="6"/>
  <c r="C5" i="6"/>
  <c r="AC5" i="6" s="1"/>
  <c r="B5" i="6"/>
  <c r="W4" i="6"/>
  <c r="U4" i="6"/>
  <c r="S4" i="6"/>
  <c r="Q4" i="6"/>
  <c r="O4" i="6"/>
  <c r="L4" i="6"/>
  <c r="K4" i="6"/>
  <c r="J4" i="6"/>
  <c r="I4" i="6"/>
  <c r="H4" i="6"/>
  <c r="G4" i="6"/>
  <c r="F4" i="6"/>
  <c r="E4" i="6"/>
  <c r="D4" i="6"/>
  <c r="C4" i="6"/>
  <c r="AC4" i="6" s="1"/>
  <c r="B4" i="6"/>
  <c r="M3" i="6"/>
  <c r="G32" i="12"/>
  <c r="H32" i="12" s="1"/>
  <c r="G31" i="12"/>
  <c r="H31" i="12" s="1"/>
  <c r="G30" i="12"/>
  <c r="H30" i="12" s="1"/>
  <c r="G29" i="12"/>
  <c r="H29" i="12" s="1"/>
  <c r="G26" i="12"/>
  <c r="H26" i="12" s="1"/>
  <c r="G25" i="12"/>
  <c r="G24" i="12"/>
  <c r="G23" i="12"/>
  <c r="C18" i="12"/>
  <c r="A48" i="12"/>
  <c r="A45" i="12"/>
  <c r="C45" i="12" s="1"/>
  <c r="F45" i="12" s="1"/>
  <c r="A46" i="12"/>
  <c r="B46" i="12" s="1"/>
  <c r="A47" i="12"/>
  <c r="D47" i="12" s="1"/>
  <c r="G47" i="12" s="1"/>
  <c r="A40" i="12"/>
  <c r="A39" i="12"/>
  <c r="A38" i="12"/>
  <c r="A37" i="12"/>
  <c r="A36" i="12"/>
  <c r="A32" i="12"/>
  <c r="B32" i="12"/>
  <c r="C32" i="12"/>
  <c r="D32" i="12"/>
  <c r="E32" i="12"/>
  <c r="F32" i="12"/>
  <c r="A31" i="12"/>
  <c r="B31" i="12"/>
  <c r="C31" i="12"/>
  <c r="D31" i="12"/>
  <c r="E31" i="12"/>
  <c r="F31" i="12"/>
  <c r="A30" i="12"/>
  <c r="B30" i="12"/>
  <c r="C30" i="12"/>
  <c r="D30" i="12"/>
  <c r="E30" i="12"/>
  <c r="F30" i="12"/>
  <c r="A29" i="12"/>
  <c r="B29" i="12"/>
  <c r="C29" i="12"/>
  <c r="D29" i="12"/>
  <c r="E29" i="12"/>
  <c r="F29" i="12"/>
  <c r="A26" i="12"/>
  <c r="B26" i="12"/>
  <c r="C26" i="12"/>
  <c r="D26" i="12"/>
  <c r="E26" i="12"/>
  <c r="A25" i="12"/>
  <c r="B25" i="12"/>
  <c r="C25" i="12"/>
  <c r="D25" i="12"/>
  <c r="E25" i="12"/>
  <c r="A24" i="12"/>
  <c r="B24" i="12"/>
  <c r="C24" i="12"/>
  <c r="D24" i="12"/>
  <c r="E24" i="12"/>
  <c r="A23" i="12"/>
  <c r="B23" i="12"/>
  <c r="C23" i="12"/>
  <c r="D23" i="12"/>
  <c r="C54" i="12" s="1"/>
  <c r="E23" i="12"/>
  <c r="B8" i="12"/>
  <c r="C8" i="12"/>
  <c r="B9" i="12"/>
  <c r="C9" i="12"/>
  <c r="B10" i="12"/>
  <c r="C10" i="12"/>
  <c r="B11" i="12"/>
  <c r="C11" i="12"/>
  <c r="B12" i="12"/>
  <c r="F48" i="12" s="1"/>
  <c r="C12" i="12"/>
  <c r="C13" i="12"/>
  <c r="B14" i="12"/>
  <c r="C14" i="12"/>
  <c r="B15" i="12"/>
  <c r="C15" i="12"/>
  <c r="B16" i="12"/>
  <c r="C16" i="12"/>
  <c r="B17" i="12"/>
  <c r="C17" i="12"/>
  <c r="B19" i="12"/>
  <c r="C19" i="12"/>
  <c r="C53" i="12" s="1"/>
  <c r="J3" i="12"/>
  <c r="G3" i="12"/>
  <c r="D3" i="12"/>
  <c r="D5" i="8"/>
  <c r="D4" i="8"/>
  <c r="D3" i="8"/>
  <c r="P11" i="3"/>
  <c r="Q6" i="3"/>
  <c r="P6" i="3"/>
  <c r="O6" i="3"/>
  <c r="N6" i="3"/>
  <c r="M6" i="3"/>
  <c r="N10" i="3"/>
  <c r="M10" i="3"/>
  <c r="L10" i="3"/>
  <c r="X61" i="9"/>
  <c r="J10" i="3" s="1"/>
  <c r="I10" i="3"/>
  <c r="H10" i="3"/>
  <c r="G10" i="3"/>
  <c r="J6" i="3"/>
  <c r="L6" i="3"/>
  <c r="K6" i="3"/>
  <c r="I6" i="3"/>
  <c r="H6" i="3"/>
  <c r="G6" i="3"/>
  <c r="F6" i="3"/>
  <c r="Q3" i="6"/>
  <c r="O3" i="6"/>
  <c r="X6" i="8"/>
  <c r="X8" i="8" s="1"/>
  <c r="X5" i="8"/>
  <c r="X4" i="8"/>
  <c r="X3" i="8"/>
  <c r="W6" i="8"/>
  <c r="W8" i="8" s="1"/>
  <c r="W5" i="8"/>
  <c r="W4" i="8"/>
  <c r="W3" i="8"/>
  <c r="L3" i="6"/>
  <c r="Z6" i="1"/>
  <c r="F26" i="12" s="1"/>
  <c r="Z5" i="1"/>
  <c r="F25" i="12" s="1"/>
  <c r="Z4" i="1"/>
  <c r="F24" i="12" s="1"/>
  <c r="Z3" i="1"/>
  <c r="F23" i="12" s="1"/>
  <c r="Y6" i="1"/>
  <c r="K10" i="3" s="1"/>
  <c r="Y5" i="1"/>
  <c r="Y4" i="1"/>
  <c r="Y3" i="1"/>
  <c r="P8" i="8"/>
  <c r="P5" i="8"/>
  <c r="P4" i="8"/>
  <c r="O6" i="8"/>
  <c r="O8" i="8" s="1"/>
  <c r="O5" i="8"/>
  <c r="O4" i="8"/>
  <c r="O3" i="8"/>
  <c r="N6" i="8"/>
  <c r="N8" i="8" s="1"/>
  <c r="N5" i="8"/>
  <c r="N4" i="8"/>
  <c r="N3" i="8"/>
  <c r="M6" i="8"/>
  <c r="M5" i="8"/>
  <c r="M4" i="8"/>
  <c r="M3" i="8"/>
  <c r="L6" i="8"/>
  <c r="L8" i="8" s="1"/>
  <c r="L5" i="8"/>
  <c r="L4" i="8"/>
  <c r="L3" i="8"/>
  <c r="K6" i="8"/>
  <c r="K8" i="8" s="1"/>
  <c r="K5" i="8"/>
  <c r="K4" i="8"/>
  <c r="K3" i="8"/>
  <c r="J6" i="8"/>
  <c r="J8" i="8" s="1"/>
  <c r="J5" i="8"/>
  <c r="J4" i="8"/>
  <c r="J3" i="8"/>
  <c r="H6" i="8"/>
  <c r="H8" i="8" s="1"/>
  <c r="H5" i="8"/>
  <c r="H4" i="8"/>
  <c r="H3" i="8"/>
  <c r="G6" i="8"/>
  <c r="G8" i="8" s="1"/>
  <c r="G5" i="8"/>
  <c r="G4" i="8"/>
  <c r="G3" i="8"/>
  <c r="E6" i="8"/>
  <c r="E8" i="8" s="1"/>
  <c r="E5" i="8"/>
  <c r="E4" i="8"/>
  <c r="E3" i="8"/>
  <c r="V55" i="6" l="1"/>
  <c r="H23" i="12"/>
  <c r="R46" i="6"/>
  <c r="T33" i="12"/>
  <c r="AA43" i="6"/>
  <c r="T12" i="12"/>
  <c r="T52" i="6"/>
  <c r="T17" i="12"/>
  <c r="U17" i="12" s="1" a="1"/>
  <c r="U17" i="12" s="1"/>
  <c r="T31" i="12"/>
  <c r="AA44" i="6"/>
  <c r="V33" i="6"/>
  <c r="T27" i="12"/>
  <c r="V42" i="6"/>
  <c r="T53" i="12"/>
  <c r="U53" i="12" s="1" a="1"/>
  <c r="U53" i="12" s="1"/>
  <c r="B13" i="12"/>
  <c r="D13" i="12" s="1"/>
  <c r="AA42" i="6"/>
  <c r="AA57" i="6"/>
  <c r="R24" i="6"/>
  <c r="R38" i="6"/>
  <c r="T21" i="12"/>
  <c r="V24" i="6"/>
  <c r="V31" i="6"/>
  <c r="F10" i="12"/>
  <c r="D46" i="12"/>
  <c r="G46" i="12" s="1"/>
  <c r="AA5" i="6"/>
  <c r="AA12" i="6"/>
  <c r="AA19" i="6"/>
  <c r="AA26" i="6"/>
  <c r="AA33" i="6"/>
  <c r="AA40" i="6"/>
  <c r="AA54" i="6"/>
  <c r="X54" i="6"/>
  <c r="T13" i="12"/>
  <c r="U13" i="12" s="1" a="1"/>
  <c r="U13" i="12" s="1"/>
  <c r="T20" i="12"/>
  <c r="T7" i="12"/>
  <c r="D17" i="12"/>
  <c r="N16" i="6"/>
  <c r="N43" i="6"/>
  <c r="T57" i="6"/>
  <c r="N46" i="6"/>
  <c r="T41" i="12"/>
  <c r="AA6" i="6"/>
  <c r="AA13" i="6"/>
  <c r="AA20" i="6"/>
  <c r="AA27" i="6"/>
  <c r="AA34" i="6"/>
  <c r="AA39" i="6"/>
  <c r="P41" i="6"/>
  <c r="P55" i="6"/>
  <c r="T46" i="12"/>
  <c r="U46" i="12" s="1" a="1"/>
  <c r="U46" i="12" s="1"/>
  <c r="V16" i="6"/>
  <c r="AA4" i="6"/>
  <c r="AA11" i="6"/>
  <c r="AA18" i="6"/>
  <c r="AA25" i="6"/>
  <c r="AA32" i="6"/>
  <c r="X46" i="6"/>
  <c r="T54" i="6"/>
  <c r="T19" i="12"/>
  <c r="U19" i="12" s="1" a="1"/>
  <c r="U19" i="12" s="1"/>
  <c r="R8" i="6"/>
  <c r="T38" i="12"/>
  <c r="V56" i="6"/>
  <c r="AA30" i="6"/>
  <c r="T52" i="12"/>
  <c r="V15" i="6"/>
  <c r="T29" i="12"/>
  <c r="U29" i="12" s="1" a="1"/>
  <c r="U29" i="12" s="1"/>
  <c r="T36" i="12"/>
  <c r="U36" i="12" s="1" a="1"/>
  <c r="U36" i="12" s="1"/>
  <c r="C46" i="12"/>
  <c r="F46" i="12" s="1"/>
  <c r="T55" i="6"/>
  <c r="T10" i="12"/>
  <c r="T24" i="12"/>
  <c r="V43" i="6"/>
  <c r="V59" i="6"/>
  <c r="T34" i="12"/>
  <c r="U34" i="12" s="1" a="1"/>
  <c r="U34" i="12" s="1"/>
  <c r="D11" i="12"/>
  <c r="AA9" i="6"/>
  <c r="AA16" i="6"/>
  <c r="AA23" i="6"/>
  <c r="X30" i="6"/>
  <c r="X37" i="6"/>
  <c r="T53" i="6"/>
  <c r="D19" i="12"/>
  <c r="R4" i="6"/>
  <c r="X26" i="6"/>
  <c r="R39" i="6"/>
  <c r="P40" i="6"/>
  <c r="AA51" i="6"/>
  <c r="T56" i="6"/>
  <c r="P50" i="6"/>
  <c r="X55" i="6"/>
  <c r="V30" i="6"/>
  <c r="AA10" i="6"/>
  <c r="X10" i="6"/>
  <c r="AA17" i="6"/>
  <c r="AA38" i="6"/>
  <c r="N54" i="6"/>
  <c r="T55" i="12"/>
  <c r="U55" i="12" s="1" a="1"/>
  <c r="U55" i="12" s="1"/>
  <c r="V4" i="6"/>
  <c r="V11" i="6"/>
  <c r="AA45" i="6"/>
  <c r="AA52" i="6"/>
  <c r="P54" i="6"/>
  <c r="T32" i="12"/>
  <c r="U32" i="12" s="1" a="1"/>
  <c r="U32" i="12" s="1"/>
  <c r="T44" i="12"/>
  <c r="F16" i="12"/>
  <c r="N4" i="6"/>
  <c r="V39" i="6"/>
  <c r="N56" i="6"/>
  <c r="AC24" i="6"/>
  <c r="AA24" i="6" s="1"/>
  <c r="T5" i="12"/>
  <c r="T30" i="12"/>
  <c r="T39" i="12"/>
  <c r="B45" i="12"/>
  <c r="P39" i="6"/>
  <c r="T45" i="6"/>
  <c r="R51" i="6"/>
  <c r="P56" i="6"/>
  <c r="T14" i="12"/>
  <c r="U14" i="12" s="1" a="1"/>
  <c r="U14" i="12" s="1"/>
  <c r="T37" i="12"/>
  <c r="E46" i="12"/>
  <c r="P5" i="6"/>
  <c r="P57" i="6"/>
  <c r="N19" i="6"/>
  <c r="T51" i="12"/>
  <c r="F9" i="12"/>
  <c r="T26" i="12"/>
  <c r="T42" i="12"/>
  <c r="U42" i="12" s="1" a="1"/>
  <c r="U42" i="12" s="1"/>
  <c r="R13" i="6"/>
  <c r="V57" i="6"/>
  <c r="AC48" i="6"/>
  <c r="AA48" i="6" s="1"/>
  <c r="R5" i="6"/>
  <c r="D8" i="12"/>
  <c r="R6" i="6"/>
  <c r="AA8" i="6"/>
  <c r="X12" i="6"/>
  <c r="R41" i="6"/>
  <c r="T46" i="6"/>
  <c r="X57" i="6"/>
  <c r="AA37" i="6"/>
  <c r="AC55" i="6"/>
  <c r="AA55" i="6" s="1"/>
  <c r="T6" i="12"/>
  <c r="U6" i="12" s="1" a="1"/>
  <c r="U6" i="12" s="1"/>
  <c r="T15" i="12"/>
  <c r="T22" i="12"/>
  <c r="U22" i="12" s="1" a="1"/>
  <c r="U22" i="12" s="1"/>
  <c r="T47" i="12"/>
  <c r="U47" i="12" s="1" a="1"/>
  <c r="U47" i="12" s="1"/>
  <c r="T49" i="12"/>
  <c r="T56" i="12"/>
  <c r="U56" i="12" s="1" a="1"/>
  <c r="U56" i="12" s="1"/>
  <c r="C47" i="12"/>
  <c r="F47" i="12" s="1"/>
  <c r="D14" i="12"/>
  <c r="V20" i="6"/>
  <c r="N22" i="6"/>
  <c r="V27" i="6"/>
  <c r="R28" i="6"/>
  <c r="N29" i="6"/>
  <c r="R35" i="6"/>
  <c r="T41" i="6"/>
  <c r="P42" i="6"/>
  <c r="V46" i="6"/>
  <c r="P47" i="6"/>
  <c r="N10" i="6"/>
  <c r="N24" i="6"/>
  <c r="T45" i="12"/>
  <c r="U45" i="12" s="1" a="1"/>
  <c r="U45" i="12" s="1"/>
  <c r="T54" i="12"/>
  <c r="U54" i="12" s="1" a="1"/>
  <c r="U54" i="12" s="1"/>
  <c r="B47" i="12"/>
  <c r="T8" i="12"/>
  <c r="D15" i="12"/>
  <c r="V41" i="6"/>
  <c r="H24" i="12"/>
  <c r="V7" i="6"/>
  <c r="V35" i="6"/>
  <c r="X41" i="6"/>
  <c r="T42" i="6"/>
  <c r="T47" i="6"/>
  <c r="R54" i="6"/>
  <c r="AC41" i="6"/>
  <c r="AA41" i="6" s="1"/>
  <c r="AC50" i="6"/>
  <c r="AA50" i="6" s="1"/>
  <c r="AC56" i="6"/>
  <c r="AA56" i="6" s="1"/>
  <c r="T11" i="12"/>
  <c r="U11" i="12" s="1" a="1"/>
  <c r="U11" i="12" s="1"/>
  <c r="AB17" i="6"/>
  <c r="T28" i="12"/>
  <c r="R26" i="6"/>
  <c r="T3" i="12"/>
  <c r="V47" i="6"/>
  <c r="R48" i="6"/>
  <c r="AA59" i="6"/>
  <c r="N13" i="6"/>
  <c r="N41" i="6"/>
  <c r="T4" i="12"/>
  <c r="T9" i="12"/>
  <c r="U9" i="12" s="1" a="1"/>
  <c r="U9" i="12" s="1"/>
  <c r="T43" i="12"/>
  <c r="T50" i="12"/>
  <c r="E45" i="12"/>
  <c r="G48" i="12"/>
  <c r="P46" i="6"/>
  <c r="R57" i="6"/>
  <c r="AA7" i="6"/>
  <c r="X56" i="6"/>
  <c r="T35" i="12"/>
  <c r="E47" i="12"/>
  <c r="V12" i="6"/>
  <c r="V40" i="6"/>
  <c r="T40" i="12"/>
  <c r="H25" i="12"/>
  <c r="AA14" i="6"/>
  <c r="AA21" i="6"/>
  <c r="AA28" i="6"/>
  <c r="P43" i="6"/>
  <c r="X47" i="6"/>
  <c r="N42" i="6"/>
  <c r="T16" i="12"/>
  <c r="U16" i="12" s="1" a="1"/>
  <c r="U16" i="12" s="1"/>
  <c r="T25" i="12"/>
  <c r="T48" i="12"/>
  <c r="D45" i="12"/>
  <c r="G45" i="12" s="1"/>
  <c r="V53" i="6"/>
  <c r="N39" i="6"/>
  <c r="D12" i="12"/>
  <c r="P10" i="6"/>
  <c r="AA15" i="6"/>
  <c r="AA22" i="6"/>
  <c r="AA36" i="6"/>
  <c r="X42" i="6"/>
  <c r="R43" i="6"/>
  <c r="X44" i="6"/>
  <c r="V54" i="6"/>
  <c r="R55" i="6"/>
  <c r="N57" i="6"/>
  <c r="T18" i="12"/>
  <c r="T23" i="12"/>
  <c r="V58" i="6"/>
  <c r="P59" i="6"/>
  <c r="X59" i="6"/>
  <c r="AC58" i="6"/>
  <c r="AA58" i="6" s="1"/>
  <c r="N59" i="6"/>
  <c r="R59" i="6"/>
  <c r="X48" i="6"/>
  <c r="AA49" i="6"/>
  <c r="V49" i="6"/>
  <c r="V50" i="6"/>
  <c r="AC47" i="6"/>
  <c r="AA47" i="6" s="1"/>
  <c r="R47" i="6"/>
  <c r="P45" i="6"/>
  <c r="V45" i="6"/>
  <c r="N45" i="6"/>
  <c r="R42" i="6"/>
  <c r="N14" i="6"/>
  <c r="V19" i="6"/>
  <c r="X23" i="6"/>
  <c r="T32" i="6"/>
  <c r="AC29" i="6"/>
  <c r="AA29" i="6" s="1"/>
  <c r="P13" i="6"/>
  <c r="R19" i="6"/>
  <c r="P20" i="6"/>
  <c r="T38" i="6"/>
  <c r="AC31" i="6"/>
  <c r="AA31" i="6" s="1"/>
  <c r="V8" i="6"/>
  <c r="R10" i="6"/>
  <c r="R15" i="6"/>
  <c r="X20" i="6"/>
  <c r="R34" i="6"/>
  <c r="X39" i="6"/>
  <c r="R40" i="6"/>
  <c r="AB9" i="6"/>
  <c r="V13" i="6"/>
  <c r="T20" i="6"/>
  <c r="P21" i="6"/>
  <c r="T26" i="6"/>
  <c r="T39" i="6"/>
  <c r="N40" i="6"/>
  <c r="T8" i="6"/>
  <c r="T14" i="6"/>
  <c r="X8" i="6"/>
  <c r="P22" i="6"/>
  <c r="T34" i="6"/>
  <c r="T40" i="6"/>
  <c r="AB21" i="6"/>
  <c r="T16" i="6"/>
  <c r="T17" i="6"/>
  <c r="P23" i="6"/>
  <c r="X34" i="6"/>
  <c r="N34" i="6"/>
  <c r="V22" i="6"/>
  <c r="R23" i="6"/>
  <c r="T37" i="6"/>
  <c r="X40" i="6"/>
  <c r="X6" i="6"/>
  <c r="V18" i="6"/>
  <c r="T23" i="6"/>
  <c r="X28" i="6"/>
  <c r="P30" i="6"/>
  <c r="P37" i="6"/>
  <c r="N36" i="6"/>
  <c r="P18" i="6"/>
  <c r="V23" i="6"/>
  <c r="P25" i="6"/>
  <c r="V38" i="6"/>
  <c r="N23" i="6"/>
  <c r="N37" i="6"/>
  <c r="AA35" i="6"/>
  <c r="R58" i="6"/>
  <c r="T58" i="6"/>
  <c r="X58" i="6"/>
  <c r="T59" i="6"/>
  <c r="P58" i="6"/>
  <c r="T50" i="6"/>
  <c r="N51" i="6"/>
  <c r="P51" i="6"/>
  <c r="X49" i="6"/>
  <c r="R50" i="6"/>
  <c r="T49" i="6"/>
  <c r="N50" i="6"/>
  <c r="X53" i="6"/>
  <c r="P48" i="6"/>
  <c r="P52" i="6"/>
  <c r="R52" i="6"/>
  <c r="N53" i="6"/>
  <c r="T48" i="6"/>
  <c r="V52" i="6"/>
  <c r="X50" i="6"/>
  <c r="N48" i="6"/>
  <c r="T51" i="6"/>
  <c r="N52" i="6"/>
  <c r="X51" i="6"/>
  <c r="V48" i="6"/>
  <c r="N49" i="6"/>
  <c r="X52" i="6"/>
  <c r="R53" i="6"/>
  <c r="P49" i="6"/>
  <c r="T44" i="6"/>
  <c r="T43" i="6"/>
  <c r="N44" i="6"/>
  <c r="X43" i="6"/>
  <c r="R44" i="6"/>
  <c r="X45" i="6"/>
  <c r="V44" i="6"/>
  <c r="X5" i="6"/>
  <c r="P8" i="6"/>
  <c r="P12" i="6"/>
  <c r="X22" i="6"/>
  <c r="V26" i="6"/>
  <c r="N27" i="6"/>
  <c r="T30" i="6"/>
  <c r="N31" i="6"/>
  <c r="T4" i="6"/>
  <c r="N5" i="6"/>
  <c r="X7" i="6"/>
  <c r="X11" i="6"/>
  <c r="R12" i="6"/>
  <c r="T13" i="6"/>
  <c r="X15" i="6"/>
  <c r="P16" i="6"/>
  <c r="X19" i="6"/>
  <c r="R20" i="6"/>
  <c r="X24" i="6"/>
  <c r="P27" i="6"/>
  <c r="P31" i="6"/>
  <c r="V34" i="6"/>
  <c r="X38" i="6"/>
  <c r="N21" i="6"/>
  <c r="N28" i="6"/>
  <c r="T5" i="6"/>
  <c r="N6" i="6"/>
  <c r="P9" i="6"/>
  <c r="X16" i="6"/>
  <c r="R17" i="6"/>
  <c r="T24" i="6"/>
  <c r="N25" i="6"/>
  <c r="X27" i="6"/>
  <c r="X31" i="6"/>
  <c r="R32" i="6"/>
  <c r="X35" i="6"/>
  <c r="P36" i="6"/>
  <c r="V5" i="6"/>
  <c r="P6" i="6"/>
  <c r="X9" i="6"/>
  <c r="R21" i="6"/>
  <c r="N33" i="6"/>
  <c r="T36" i="6"/>
  <c r="P32" i="6"/>
  <c r="X13" i="6"/>
  <c r="V17" i="6"/>
  <c r="T21" i="6"/>
  <c r="T28" i="6"/>
  <c r="V32" i="6"/>
  <c r="R14" i="6"/>
  <c r="X17" i="6"/>
  <c r="R18" i="6"/>
  <c r="X25" i="6"/>
  <c r="X32" i="6"/>
  <c r="T6" i="6"/>
  <c r="R7" i="6"/>
  <c r="R11" i="6"/>
  <c r="P15" i="6"/>
  <c r="T18" i="6"/>
  <c r="X21" i="6"/>
  <c r="T25" i="6"/>
  <c r="N26" i="6"/>
  <c r="P29" i="6"/>
  <c r="X36" i="6"/>
  <c r="R37" i="6"/>
  <c r="N17" i="6"/>
  <c r="T31" i="6"/>
  <c r="T35" i="6"/>
  <c r="N9" i="6"/>
  <c r="T9" i="6"/>
  <c r="V9" i="6"/>
  <c r="V21" i="6"/>
  <c r="V28" i="6"/>
  <c r="R33" i="6"/>
  <c r="V36" i="6"/>
  <c r="V6" i="6"/>
  <c r="N7" i="6"/>
  <c r="T10" i="6"/>
  <c r="N11" i="6"/>
  <c r="R22" i="6"/>
  <c r="V25" i="6"/>
  <c r="P26" i="6"/>
  <c r="X29" i="6"/>
  <c r="R30" i="6"/>
  <c r="N32" i="6"/>
  <c r="P17" i="6"/>
  <c r="P28" i="6"/>
  <c r="P14" i="6"/>
  <c r="X4" i="6"/>
  <c r="P7" i="6"/>
  <c r="V10" i="6"/>
  <c r="P11" i="6"/>
  <c r="V14" i="6"/>
  <c r="X18" i="6"/>
  <c r="P19" i="6"/>
  <c r="T22" i="6"/>
  <c r="T29" i="6"/>
  <c r="N30" i="6"/>
  <c r="X33" i="6"/>
  <c r="P34" i="6"/>
  <c r="V37" i="6"/>
  <c r="P38" i="6"/>
  <c r="T12" i="6"/>
  <c r="X14" i="6"/>
  <c r="V29" i="6"/>
  <c r="T7" i="6"/>
  <c r="N8" i="6"/>
  <c r="T11" i="6"/>
  <c r="N12" i="6"/>
  <c r="T15" i="6"/>
  <c r="T19" i="6"/>
  <c r="N20" i="6"/>
  <c r="T27" i="6"/>
  <c r="R31" i="6"/>
  <c r="P35" i="6"/>
  <c r="F15" i="12"/>
  <c r="R16" i="6"/>
  <c r="R36" i="6"/>
  <c r="R56" i="6"/>
  <c r="R9" i="6"/>
  <c r="R29" i="6"/>
  <c r="R49" i="6"/>
  <c r="P4" i="6"/>
  <c r="N18" i="6"/>
  <c r="P24" i="6"/>
  <c r="N38" i="6"/>
  <c r="P44" i="6"/>
  <c r="N58" i="6"/>
  <c r="R25" i="6"/>
  <c r="R45" i="6"/>
  <c r="P33" i="6"/>
  <c r="N47" i="6"/>
  <c r="V51" i="6"/>
  <c r="P53" i="6"/>
  <c r="T33" i="6"/>
  <c r="N35" i="6"/>
  <c r="N55" i="6"/>
  <c r="N15" i="6"/>
  <c r="R27" i="6"/>
  <c r="D16" i="12"/>
  <c r="F17" i="12"/>
  <c r="D10" i="12"/>
  <c r="F12" i="12"/>
  <c r="D9" i="12"/>
  <c r="F11" i="12"/>
  <c r="F8" i="12"/>
  <c r="T4" i="8"/>
  <c r="T5" i="8"/>
  <c r="F19" i="12"/>
  <c r="F14" i="12"/>
  <c r="T3" i="8"/>
  <c r="T6" i="8"/>
  <c r="I4" i="8"/>
  <c r="Y4" i="8" s="1"/>
  <c r="I5" i="8"/>
  <c r="Y5" i="8" s="1"/>
  <c r="Z3" i="8"/>
  <c r="I3" i="8"/>
  <c r="R3" i="8" s="1"/>
  <c r="Z4" i="8"/>
  <c r="Z6" i="8"/>
  <c r="Z8" i="8" s="1"/>
  <c r="Z5" i="8"/>
  <c r="I6" i="8"/>
  <c r="M8" i="8"/>
  <c r="Z62" i="6"/>
  <c r="Y62" i="6"/>
  <c r="W3" i="6"/>
  <c r="U3" i="6"/>
  <c r="S3" i="6"/>
  <c r="L62" i="6"/>
  <c r="K3" i="6"/>
  <c r="J62" i="6"/>
  <c r="J3" i="6"/>
  <c r="I3" i="6"/>
  <c r="H62" i="6"/>
  <c r="H3" i="6"/>
  <c r="G3" i="6"/>
  <c r="F3" i="6"/>
  <c r="E3" i="6"/>
  <c r="D3" i="6"/>
  <c r="C3" i="6"/>
  <c r="AC3" i="6" s="1"/>
  <c r="B3" i="6"/>
  <c r="AC3" i="9"/>
  <c r="AA3" i="9" s="1"/>
  <c r="F40" i="5"/>
  <c r="AB55" i="6" s="1"/>
  <c r="U52" i="12" l="1" a="1"/>
  <c r="U52" i="12" s="1"/>
  <c r="U49" i="12" a="1"/>
  <c r="U49" i="12" s="1"/>
  <c r="U12" i="12" a="1"/>
  <c r="U12" i="12" s="1"/>
  <c r="U38" i="12" a="1"/>
  <c r="U38" i="12" s="1"/>
  <c r="U41" i="12" a="1"/>
  <c r="U41" i="12" s="1"/>
  <c r="U5" i="12" a="1"/>
  <c r="U5" i="12" s="1"/>
  <c r="U27" i="12" a="1"/>
  <c r="U27" i="12" s="1"/>
  <c r="F13" i="12"/>
  <c r="A3" i="12" s="1"/>
  <c r="U48" i="12" a="1"/>
  <c r="U48" i="12" s="1"/>
  <c r="U31" i="12" a="1"/>
  <c r="U31" i="12" s="1"/>
  <c r="AB36" i="6"/>
  <c r="AB47" i="6"/>
  <c r="AB49" i="6"/>
  <c r="U26" i="12" a="1"/>
  <c r="U26" i="12" s="1"/>
  <c r="U4" i="12" a="1"/>
  <c r="U4" i="12" s="1"/>
  <c r="U28" i="12" a="1"/>
  <c r="U28" i="12" s="1"/>
  <c r="AB48" i="6"/>
  <c r="U40" i="12" a="1"/>
  <c r="U40" i="12" s="1"/>
  <c r="U39" i="12" a="1"/>
  <c r="U39" i="12" s="1"/>
  <c r="AB13" i="6"/>
  <c r="AB40" i="6"/>
  <c r="AB6" i="6"/>
  <c r="U43" i="12" a="1"/>
  <c r="U43" i="12" s="1"/>
  <c r="AB58" i="6"/>
  <c r="AB34" i="6"/>
  <c r="U25" i="12" a="1"/>
  <c r="U25" i="12" s="1"/>
  <c r="AB24" i="6"/>
  <c r="AB43" i="6"/>
  <c r="AB26" i="6"/>
  <c r="AB59" i="6"/>
  <c r="AB20" i="6"/>
  <c r="U15" i="12" a="1"/>
  <c r="U15" i="12" s="1"/>
  <c r="AB44" i="6"/>
  <c r="AB38" i="6"/>
  <c r="AB35" i="6"/>
  <c r="AB5" i="6"/>
  <c r="U20" i="12" a="1"/>
  <c r="U20" i="12" s="1"/>
  <c r="Q3" i="8"/>
  <c r="S3" i="8" s="1"/>
  <c r="V3" i="8" s="1"/>
  <c r="AB22" i="6"/>
  <c r="AB32" i="6"/>
  <c r="U51" i="12" a="1"/>
  <c r="U51" i="12" s="1"/>
  <c r="AB29" i="6"/>
  <c r="U35" i="12" a="1"/>
  <c r="U35" i="12" s="1"/>
  <c r="U30" i="12" a="1"/>
  <c r="U30" i="12" s="1"/>
  <c r="U18" i="12" a="1"/>
  <c r="U18" i="12" s="1"/>
  <c r="U21" i="12" a="1"/>
  <c r="U21" i="12" s="1"/>
  <c r="AB25" i="6"/>
  <c r="U8" i="12" a="1"/>
  <c r="U8" i="12" s="1"/>
  <c r="U50" i="12" a="1"/>
  <c r="U50" i="12" s="1"/>
  <c r="AB14" i="6"/>
  <c r="U7" i="12" a="1"/>
  <c r="U7" i="12" s="1"/>
  <c r="U23" i="12" a="1"/>
  <c r="U23" i="12" s="1"/>
  <c r="U24" i="12" a="1"/>
  <c r="U24" i="12" s="1"/>
  <c r="U33" i="12" a="1"/>
  <c r="U33" i="12" s="1"/>
  <c r="AB16" i="6"/>
  <c r="AB57" i="6"/>
  <c r="AB39" i="6"/>
  <c r="AB10" i="6"/>
  <c r="AB30" i="6"/>
  <c r="AB50" i="6"/>
  <c r="AB28" i="6"/>
  <c r="AB18" i="6"/>
  <c r="U10" i="12" a="1"/>
  <c r="U10" i="12" s="1"/>
  <c r="U37" i="12" a="1"/>
  <c r="U37" i="12" s="1"/>
  <c r="AB51" i="6"/>
  <c r="AB56" i="6"/>
  <c r="U44" i="12" a="1"/>
  <c r="U44" i="12" s="1"/>
  <c r="AB42" i="6"/>
  <c r="AB31" i="6"/>
  <c r="U3" i="12" a="1"/>
  <c r="U3" i="12" s="1"/>
  <c r="AB15" i="6"/>
  <c r="AB37" i="6"/>
  <c r="AB46" i="6"/>
  <c r="AB8" i="6"/>
  <c r="AB33" i="6"/>
  <c r="AB7" i="6"/>
  <c r="AB45" i="6"/>
  <c r="AB4" i="6"/>
  <c r="AB27" i="6"/>
  <c r="AB53" i="6"/>
  <c r="AB54" i="6"/>
  <c r="AB23" i="6"/>
  <c r="AB12" i="6"/>
  <c r="AB3" i="9"/>
  <c r="AB11" i="6"/>
  <c r="AB52" i="6"/>
  <c r="AB19" i="6"/>
  <c r="AB41" i="6"/>
  <c r="Y3" i="8"/>
  <c r="Q5" i="8"/>
  <c r="S5" i="8" s="1"/>
  <c r="V5" i="8" s="1"/>
  <c r="Q4" i="8"/>
  <c r="S4" i="8" s="1"/>
  <c r="V4" i="8" s="1"/>
  <c r="M62" i="6"/>
  <c r="T3" i="6"/>
  <c r="X3" i="6"/>
  <c r="V3" i="6"/>
  <c r="T8" i="8"/>
  <c r="O11" i="3"/>
  <c r="R5" i="8"/>
  <c r="R4" i="8"/>
  <c r="AA3" i="6"/>
  <c r="N3" i="6"/>
  <c r="P3" i="6"/>
  <c r="AB3" i="6"/>
  <c r="R3" i="6"/>
  <c r="Y6" i="8"/>
  <c r="R6" i="8"/>
  <c r="Q11" i="3" s="1"/>
  <c r="I8" i="8"/>
  <c r="Q6" i="8"/>
  <c r="I62" i="6"/>
  <c r="U3" i="8" l="1"/>
  <c r="U5" i="8"/>
  <c r="U4" i="8"/>
  <c r="C37" i="12"/>
  <c r="B37" i="12"/>
  <c r="F37" i="12"/>
  <c r="E39" i="12"/>
  <c r="E40" i="12"/>
  <c r="E38" i="12"/>
  <c r="E37" i="12"/>
  <c r="D38" i="12"/>
  <c r="F38" i="12"/>
  <c r="C38" i="12"/>
  <c r="F39" i="12"/>
  <c r="D39" i="12"/>
  <c r="C39" i="12"/>
  <c r="F40" i="12"/>
  <c r="D40" i="12"/>
  <c r="D37" i="12"/>
  <c r="B38" i="12"/>
  <c r="C40" i="12"/>
  <c r="E36" i="12"/>
  <c r="D36" i="12"/>
  <c r="B39" i="12"/>
  <c r="C36" i="12"/>
  <c r="H7" i="12" s="1"/>
  <c r="B36" i="12"/>
  <c r="B52" i="12" s="1"/>
  <c r="F36" i="12"/>
  <c r="B40" i="12"/>
  <c r="S62" i="6"/>
  <c r="W62" i="6"/>
  <c r="H11" i="3"/>
  <c r="O62" i="6"/>
  <c r="U62" i="6"/>
  <c r="Y8" i="8"/>
  <c r="K11" i="3"/>
  <c r="S6" i="8"/>
  <c r="Q8" i="8"/>
  <c r="R8" i="8"/>
  <c r="X61" i="6" l="1"/>
  <c r="J11" i="3" s="1"/>
  <c r="C52" i="12"/>
  <c r="V62" i="6"/>
  <c r="U6" i="8"/>
  <c r="N11" i="3"/>
  <c r="Q62" i="6"/>
  <c r="F11" i="3"/>
  <c r="R62" i="6"/>
  <c r="T62" i="6"/>
  <c r="X62" i="6"/>
  <c r="S8" i="8"/>
  <c r="V6" i="8"/>
  <c r="W57" i="4"/>
  <c r="AA55" i="4"/>
  <c r="AA54" i="4"/>
  <c r="AA53" i="4"/>
  <c r="AA51" i="4"/>
  <c r="AA50" i="4"/>
  <c r="AA49" i="4"/>
  <c r="AA48" i="4"/>
  <c r="AA47" i="4"/>
  <c r="AA46" i="4"/>
  <c r="AA45" i="4"/>
  <c r="AA44" i="4"/>
  <c r="AA43" i="4"/>
  <c r="AA41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AA3" i="4"/>
  <c r="I11" i="3" l="1"/>
  <c r="V8" i="8"/>
  <c r="M11" i="3"/>
  <c r="U8" i="8"/>
  <c r="L11" i="3"/>
  <c r="N62" i="6"/>
  <c r="P62" i="6"/>
  <c r="G11" i="3"/>
  <c r="AA5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FREDY ALEXANDER MENDEZ GONZALEZ</author>
  </authors>
  <commentList>
    <comment ref="A12" authorId="0" shapeId="0" xr:uid="{60E4E674-FE9D-4F7B-876D-CCB810AAEDA1}">
      <text>
        <r>
          <rPr>
            <b/>
            <sz val="9"/>
            <color indexed="81"/>
            <rFont val="Tahoma"/>
            <family val="2"/>
          </rPr>
          <t>Acumulado SEM en Curso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<sst xmlns="http://schemas.openxmlformats.org/spreadsheetml/2006/main" count="1297" uniqueCount="442">
  <si>
    <t>#</t>
  </si>
  <si>
    <t>Turno</t>
  </si>
  <si>
    <t>Lineas consideradas</t>
  </si>
  <si>
    <t>Tiempo total de producción (hrs)</t>
  </si>
  <si>
    <t>Sin pedido (hrs)</t>
  </si>
  <si>
    <t>CYL  Teórico (hrs)</t>
  </si>
  <si>
    <t>Mantenimiento  Programado</t>
  </si>
  <si>
    <t>Tiempo disponible (hrs)</t>
  </si>
  <si>
    <t>CYL Excedido (hrs)</t>
  </si>
  <si>
    <t>Operación (hrs)</t>
  </si>
  <si>
    <t>Mecánicos (hrs)</t>
  </si>
  <si>
    <t>Otros (hrs)</t>
  </si>
  <si>
    <t>Reducción de ritmo (hrs)</t>
  </si>
  <si>
    <t>Micro paros (hrs)</t>
  </si>
  <si>
    <t>Sin clasificar (hrs)</t>
  </si>
  <si>
    <t xml:space="preserve">Tiempo efectivo </t>
  </si>
  <si>
    <t>Capacidad Utilizada (%)</t>
  </si>
  <si>
    <t>Efectividad (%)</t>
  </si>
  <si>
    <t>Rendimiento (%)</t>
  </si>
  <si>
    <t>OEE1 (%)</t>
  </si>
  <si>
    <t>OEE2 (%)</t>
  </si>
  <si>
    <t>Producto teórico en masas</t>
  </si>
  <si>
    <t>Producto envuelto en masas</t>
  </si>
  <si>
    <t>IPFM(%)</t>
  </si>
  <si>
    <t>Tiempos perdidos
(hr)</t>
  </si>
  <si>
    <t>Pan bolleria</t>
  </si>
  <si>
    <t>Panqueleria</t>
  </si>
  <si>
    <t>Tortillas</t>
  </si>
  <si>
    <t>Total</t>
  </si>
  <si>
    <t>1. BAJAS NO RECUPERABLES
2. BAJAS PARA REPROCESO
3. SEGUNDA SELECCIÓN
15.BAJAS PARA DONATIVOS</t>
  </si>
  <si>
    <t>4.RESIDUOS/BARREDURA
5.MATERIAS PRIMAS
6.PRUEBAS
7.ARRANQUE NUEVAS LINEAS
8. DESPERDICIO DE DISEÑO NO RECUPERABLE
9.RESIDUOS/BARREDURA PARA REPROCESO
10.PRUEBAS PARA REPROCESO
13.DONATIVOS</t>
  </si>
  <si>
    <t>BAJAS + RESIDUOS (*NO SE CONSIDERA EL DESPERDICIO DE DISEÑO PARA REPROCESO)</t>
  </si>
  <si>
    <t>2. BAJAS PARA REPROCESO
9.RESIDUOS/BARREDURA PARA REPROCESO
10.PRUEBAS PARA REPROCESO</t>
  </si>
  <si>
    <t>1. BAJAS NO RECUPERABLES
4.RESIDUOS/BARREDURA
5.MATERIAS PRIMAS
6.PRUEBAS
8. DESPERDICIO DE DISEÑO NO RECUPERABLE</t>
  </si>
  <si>
    <t>2. BAJAS PARA REPROCESO
3. SEGUNDA SELECCIÓN
9.RESIDUOS/BARREDURA PARA REPROCESO
10.PRUEBAS PARA REPROCESO
13.DONATIVOS
15.BAJAS PARA DONATIVOS</t>
  </si>
  <si>
    <t>Línea</t>
  </si>
  <si>
    <t>Código producto</t>
  </si>
  <si>
    <t>Descripción</t>
  </si>
  <si>
    <t>Uom</t>
  </si>
  <si>
    <t>Código Masa</t>
  </si>
  <si>
    <t>Nombre Masa</t>
  </si>
  <si>
    <t>Masas Elaboradas (Piezas)</t>
  </si>
  <si>
    <t>Pt Registrado (Piezas)</t>
  </si>
  <si>
    <t>PT Registrado (Paquetes)</t>
  </si>
  <si>
    <t>Peso paq (kg)</t>
  </si>
  <si>
    <t>Toneladas producidas (ton)</t>
  </si>
  <si>
    <t>Bajas / Desperdicio de Proceso (kg)</t>
  </si>
  <si>
    <r>
      <t xml:space="preserve">% Bajas / Desperdicio de Proceso </t>
    </r>
    <r>
      <rPr>
        <b/>
        <sz val="10"/>
        <rFont val="Arial Nova Light"/>
        <family val="2"/>
      </rPr>
      <t>(BAJAS)</t>
    </r>
  </si>
  <si>
    <t>Residuos (kg)</t>
  </si>
  <si>
    <r>
      <t xml:space="preserve">% Residuos
</t>
    </r>
    <r>
      <rPr>
        <b/>
        <sz val="10"/>
        <rFont val="Arial Nova Light"/>
        <family val="2"/>
      </rPr>
      <t>(BARREDURA)</t>
    </r>
  </si>
  <si>
    <t>Desperdicio Total (kg)</t>
  </si>
  <si>
    <r>
      <t>% Desperdicio Total</t>
    </r>
    <r>
      <rPr>
        <b/>
        <sz val="10"/>
        <rFont val="Arial Nova Light"/>
        <family val="2"/>
      </rPr>
      <t xml:space="preserve"> (TOTAL WASTE)</t>
    </r>
  </si>
  <si>
    <t>Reproceso (kg)</t>
  </si>
  <si>
    <t>% Reproceso</t>
  </si>
  <si>
    <t>Desperdicio alimento (kg)</t>
  </si>
  <si>
    <r>
      <t xml:space="preserve">% Desperdicio alimento </t>
    </r>
    <r>
      <rPr>
        <b/>
        <sz val="10"/>
        <rFont val="Arial Nova Light"/>
        <family val="2"/>
      </rPr>
      <t>(FOOD WASTE)</t>
    </r>
  </si>
  <si>
    <t>Recuperación (kg)</t>
  </si>
  <si>
    <t>% Recuperación</t>
  </si>
  <si>
    <t>PPM</t>
  </si>
  <si>
    <t>Cupo Por Bandeja / Caja Primario</t>
  </si>
  <si>
    <t>Piezas x Caja</t>
  </si>
  <si>
    <t>PAN BOLLERIA</t>
  </si>
  <si>
    <t>0987</t>
  </si>
  <si>
    <t>Pan Super Perro 1p 405g Bolsa BIM</t>
  </si>
  <si>
    <t/>
  </si>
  <si>
    <t>S944</t>
  </si>
  <si>
    <t>MASA PAN SUPER PANCHO / PERRO</t>
  </si>
  <si>
    <t>18182.16*</t>
  </si>
  <si>
    <t>23618</t>
  </si>
  <si>
    <t>Pan Integral 1p 650g Bolsa BIM</t>
  </si>
  <si>
    <t>S947</t>
  </si>
  <si>
    <t>MASA PAN INTEGRAL 650G BIM</t>
  </si>
  <si>
    <t>777.50*</t>
  </si>
  <si>
    <t>23901</t>
  </si>
  <si>
    <t>Pan Vital Fruticereal 1p 500g Bolsa BIM</t>
  </si>
  <si>
    <t>S1541</t>
  </si>
  <si>
    <t>MASA PAN 100% FRUTICEREAL</t>
  </si>
  <si>
    <t>23935</t>
  </si>
  <si>
    <t>Duopack Super Perro 1p 810g Bolsa BIM</t>
  </si>
  <si>
    <t>26405</t>
  </si>
  <si>
    <t>Duopack Pan Integral 1p 1300g Bolsa BIM</t>
  </si>
  <si>
    <t>26474</t>
  </si>
  <si>
    <t>Pan Leche 1p 550g Bolsa LAL</t>
  </si>
  <si>
    <t>S1550</t>
  </si>
  <si>
    <t>MASA PAN BLANCO 550G</t>
  </si>
  <si>
    <t>3571.60*</t>
  </si>
  <si>
    <t>26475</t>
  </si>
  <si>
    <t>Pan Mantequilla 1p 550g Bolsa LAL</t>
  </si>
  <si>
    <t>S1552</t>
  </si>
  <si>
    <t>MASA PAN MATEQUILLA 550G</t>
  </si>
  <si>
    <t>8001.90</t>
  </si>
  <si>
    <t>27031</t>
  </si>
  <si>
    <t>Dpack Pan Fruticereal 1p 1000g Bolsa BIM</t>
  </si>
  <si>
    <t>28632</t>
  </si>
  <si>
    <t>Pan Mantequilla 1p 600g Bolsa BIM</t>
  </si>
  <si>
    <t>S1557</t>
  </si>
  <si>
    <t>MASA PAN MANTEQUILLA 600G</t>
  </si>
  <si>
    <t>29076</t>
  </si>
  <si>
    <t>Pan Super Perro 12p 4860g CJA BIM</t>
  </si>
  <si>
    <t>cg</t>
  </si>
  <si>
    <t>18182.16</t>
  </si>
  <si>
    <t>29434</t>
  </si>
  <si>
    <t>Pan Super Hamburguesa 12p 4200g CJA BIM</t>
  </si>
  <si>
    <t>S1088</t>
  </si>
  <si>
    <t>MASA HAMBURGUESA 5" -2-</t>
  </si>
  <si>
    <t>29580</t>
  </si>
  <si>
    <t>Pan Artesano Blanco 1p 500g Bolsa BIM</t>
  </si>
  <si>
    <t>S946</t>
  </si>
  <si>
    <t>MASA PAN ARTESANO 500G BIM</t>
  </si>
  <si>
    <t>2035.80</t>
  </si>
  <si>
    <t>39651</t>
  </si>
  <si>
    <t>Duopack Pan Artesano 1p 1000g Bolsa BIM</t>
  </si>
  <si>
    <t>41647</t>
  </si>
  <si>
    <t>Pan Mantequilla 12p 6600g CJA LAL</t>
  </si>
  <si>
    <t>8001.90*</t>
  </si>
  <si>
    <t>41648</t>
  </si>
  <si>
    <t>Pan Leche 12p 6600g CJA LAL</t>
  </si>
  <si>
    <t>3571.60</t>
  </si>
  <si>
    <t>41649</t>
  </si>
  <si>
    <t>Pan Integral 12p 6840g CJA LAL</t>
  </si>
  <si>
    <t>S1566</t>
  </si>
  <si>
    <t>MASA PAN INTEGRAL 570G</t>
  </si>
  <si>
    <t>1768.80*</t>
  </si>
  <si>
    <t>45530</t>
  </si>
  <si>
    <t>Pan Artesano Blanco 8p 4000g CJA BIM</t>
  </si>
  <si>
    <t>2035.80*</t>
  </si>
  <si>
    <t>45533</t>
  </si>
  <si>
    <t>Vital Fruticereal 8p 4000g CJA BIM</t>
  </si>
  <si>
    <t>45541</t>
  </si>
  <si>
    <t>Pan Mantequilla 10p 6000g CJA BIM</t>
  </si>
  <si>
    <t>cc</t>
  </si>
  <si>
    <t>48629</t>
  </si>
  <si>
    <t>Hamburguesa 42in 1p 700g Bolsa BIM</t>
  </si>
  <si>
    <t>S1581</t>
  </si>
  <si>
    <t>MASA HAMBURGUESA 4.5" BIM</t>
  </si>
  <si>
    <t>48630</t>
  </si>
  <si>
    <t>Pan CR 42in 1p 830g Bolsa BIM</t>
  </si>
  <si>
    <t>EACH</t>
  </si>
  <si>
    <t>500490</t>
  </si>
  <si>
    <t>Horneaditos Pan Blan 16p 7200g CJA NP</t>
  </si>
  <si>
    <t>S1574</t>
  </si>
  <si>
    <t>MASA PAN BLANCO 450G</t>
  </si>
  <si>
    <t>5552.00*</t>
  </si>
  <si>
    <t>500493</t>
  </si>
  <si>
    <t>Horneaditos Supe Perro 15p 5550g CJA NP</t>
  </si>
  <si>
    <t>S1579</t>
  </si>
  <si>
    <t>MASA SUPER PERRO HORNEADITOS</t>
  </si>
  <si>
    <t>19399.50*</t>
  </si>
  <si>
    <t>504672</t>
  </si>
  <si>
    <t>Pan Spr Hamburgue Ajon 1p 525g Bolsa BIM</t>
  </si>
  <si>
    <t>505377</t>
  </si>
  <si>
    <t>Horneaditos PanIntegral 16p 7200g CJA NP</t>
  </si>
  <si>
    <t>S3556</t>
  </si>
  <si>
    <t>MASA PAN INTEGRAL 450G HORNEADITOS</t>
  </si>
  <si>
    <t>505976</t>
  </si>
  <si>
    <t>Pan Blanco 1p 450g BOLSA LAL</t>
  </si>
  <si>
    <t>S4582</t>
  </si>
  <si>
    <t>MASA PAN BLANCO 450G LALO</t>
  </si>
  <si>
    <t>1126.50</t>
  </si>
  <si>
    <t>506250</t>
  </si>
  <si>
    <t>Pan Blanco PRO 1p 470g BOLSA BIM</t>
  </si>
  <si>
    <t>S962414</t>
  </si>
  <si>
    <t>MASA PAN BLANCO LECHE 470G</t>
  </si>
  <si>
    <t>5300.00*</t>
  </si>
  <si>
    <t>506251</t>
  </si>
  <si>
    <t>Pan Blanco PRO 1p 600g BOLSA BIM</t>
  </si>
  <si>
    <t>S962605</t>
  </si>
  <si>
    <t>MASA PAN BLANCO LECHE 600G</t>
  </si>
  <si>
    <t>2542.80*</t>
  </si>
  <si>
    <t>506252</t>
  </si>
  <si>
    <t>Pan Blanco PRO 1p 730g BOLSA BIM</t>
  </si>
  <si>
    <t>S962416</t>
  </si>
  <si>
    <t>MASA PAN BLANCO LECHE 730G</t>
  </si>
  <si>
    <t>694.96*</t>
  </si>
  <si>
    <t>5523</t>
  </si>
  <si>
    <t>Pan Super Hamburguesa 1p 350g Bolsa BIM</t>
  </si>
  <si>
    <t>7494</t>
  </si>
  <si>
    <t>Pan Perro 1p 405g Bolsa BIM</t>
  </si>
  <si>
    <t>9466</t>
  </si>
  <si>
    <t>Pan Hamburguesa Har 5in 1p880g Bolsa BIM</t>
  </si>
  <si>
    <t>SU105691</t>
  </si>
  <si>
    <t>MASA HAMBURGUESA HARINA 5 PULG BIM</t>
  </si>
  <si>
    <t>4515.10*</t>
  </si>
  <si>
    <t>963582</t>
  </si>
  <si>
    <t>Pan Blanco 10p 5800g CJA BIM</t>
  </si>
  <si>
    <t>S962599</t>
  </si>
  <si>
    <t>MASA PAN BLANCO LECHE 580G</t>
  </si>
  <si>
    <t>2619.00*</t>
  </si>
  <si>
    <t>963603</t>
  </si>
  <si>
    <t>Duopack Pan Blanco 2p 1200g BOLSA BIM</t>
  </si>
  <si>
    <t>BG</t>
  </si>
  <si>
    <t>2542.80</t>
  </si>
  <si>
    <t>963728</t>
  </si>
  <si>
    <t>Pan Bln TT 1p 450g BOLSA LAL</t>
  </si>
  <si>
    <t>1126.50*</t>
  </si>
  <si>
    <t>964010</t>
  </si>
  <si>
    <t>Pan Blanco PRO 10p 4700g CJA BIM</t>
  </si>
  <si>
    <t>CG</t>
  </si>
  <si>
    <t>5300.00</t>
  </si>
  <si>
    <t>9685</t>
  </si>
  <si>
    <t>Pan Hamburguesa 5in 1p 880g Bolsa BIM</t>
  </si>
  <si>
    <t>S500</t>
  </si>
  <si>
    <t>MASA HAMBURGUESA 5"</t>
  </si>
  <si>
    <t>39707</t>
  </si>
  <si>
    <t>Pan Integral 1p 570g Bolsa LAL</t>
  </si>
  <si>
    <t>608</t>
  </si>
  <si>
    <t>Pan Hamburguesa CR 1p 925g Bolsa BIM</t>
  </si>
  <si>
    <t>76087.62</t>
  </si>
  <si>
    <t>TORTILLAS</t>
  </si>
  <si>
    <t>1649</t>
  </si>
  <si>
    <t>Tortillas Trigo 1p 250g Bolsa TR</t>
  </si>
  <si>
    <t>SU105828</t>
  </si>
  <si>
    <t>MASA TORTILLAS TRIGO TR BARRANQUILLA</t>
  </si>
  <si>
    <t>26504</t>
  </si>
  <si>
    <t>Tortillas Blancas 1p 450g Bolsa BIM</t>
  </si>
  <si>
    <t>S35</t>
  </si>
  <si>
    <t>MASA TORTILLA MEDIANA BIM</t>
  </si>
  <si>
    <t>17373.60</t>
  </si>
  <si>
    <t>29073</t>
  </si>
  <si>
    <t>Tortilla FajitaBurrito 1p 425g BOLSA BIM</t>
  </si>
  <si>
    <t>S1640</t>
  </si>
  <si>
    <t>MASA TORTILLA TRIGO 19CM</t>
  </si>
  <si>
    <t>29074</t>
  </si>
  <si>
    <t>Tortillas Blancas 1p 240g Bolsa BIM</t>
  </si>
  <si>
    <t>S962429</t>
  </si>
  <si>
    <t>MASA TORTILLA TRIGO X 8 BIM</t>
  </si>
  <si>
    <t>43433.60*</t>
  </si>
  <si>
    <t>49271</t>
  </si>
  <si>
    <t>Tortillas Crachos Bla 18p 6480g CJA NP</t>
  </si>
  <si>
    <t>S2622</t>
  </si>
  <si>
    <t>MASA TORTILLA TRIGO 17CM</t>
  </si>
  <si>
    <t>201884.40*</t>
  </si>
  <si>
    <t>500498</t>
  </si>
  <si>
    <t>Tortillas Blancas 1p 660g Bolsa BIM</t>
  </si>
  <si>
    <t>17373.60*</t>
  </si>
  <si>
    <t>5490</t>
  </si>
  <si>
    <t>Tortillas Integrales 1p 250g Bolsa BIM</t>
  </si>
  <si>
    <t>S37</t>
  </si>
  <si>
    <t>MASA TORTILLA INTEGRAL BIM</t>
  </si>
  <si>
    <t>6026</t>
  </si>
  <si>
    <t>Tortillas Blancas 1p 580g Bolsa BIM</t>
  </si>
  <si>
    <t>S962430</t>
  </si>
  <si>
    <t>MASA TORTILLA TRIGO X 20 BIM</t>
  </si>
  <si>
    <t>8062</t>
  </si>
  <si>
    <t>Tortillas Wraps 1p 580g Bolsa BIM</t>
  </si>
  <si>
    <t>S322</t>
  </si>
  <si>
    <t>MASA TORTILLA WRAPS BLANCA</t>
  </si>
  <si>
    <t>8063</t>
  </si>
  <si>
    <t>Tortillas Blancas 1p 1400g Bolsa BIM</t>
  </si>
  <si>
    <t>262691.60</t>
  </si>
  <si>
    <t>PANQUELERIA</t>
  </si>
  <si>
    <t>27487</t>
  </si>
  <si>
    <t>Panque Vainilla 1p 60g FLOW BIM</t>
  </si>
  <si>
    <t>S1559</t>
  </si>
  <si>
    <t>BATIDO PANQUE VAINILLA 60G</t>
  </si>
  <si>
    <t>PLANTA</t>
  </si>
  <si>
    <t>415095.74</t>
  </si>
  <si>
    <t>3342731.00</t>
  </si>
  <si>
    <t>745129.00</t>
  </si>
  <si>
    <r>
      <t xml:space="preserve">% Bajas / Desperdicio de Proceso </t>
    </r>
    <r>
      <rPr>
        <b/>
        <sz val="10"/>
        <rFont val="Century Gothic"/>
        <family val="2"/>
      </rPr>
      <t>(BAJAS)</t>
    </r>
  </si>
  <si>
    <r>
      <t xml:space="preserve">% Residuos
</t>
    </r>
    <r>
      <rPr>
        <b/>
        <sz val="10"/>
        <rFont val="Century Gothic"/>
        <family val="2"/>
      </rPr>
      <t>(BARREDURA)</t>
    </r>
  </si>
  <si>
    <r>
      <t>% Desperdicio Total</t>
    </r>
    <r>
      <rPr>
        <b/>
        <sz val="10"/>
        <rFont val="Century Gothic"/>
        <family val="2"/>
      </rPr>
      <t xml:space="preserve"> (TOTAL WASTE)</t>
    </r>
  </si>
  <si>
    <r>
      <t xml:space="preserve">% Desperdicio alimento </t>
    </r>
    <r>
      <rPr>
        <b/>
        <sz val="10"/>
        <rFont val="Century Gothic"/>
        <family val="2"/>
      </rPr>
      <t>(FOOD WASTE)</t>
    </r>
  </si>
  <si>
    <t>Ponque Redondo Vainilla 1p 200g FLOW BIM</t>
  </si>
  <si>
    <t>SU105612</t>
  </si>
  <si>
    <t>BATIDO PONQUE SABOR VAINILLA 200G</t>
  </si>
  <si>
    <t>KPI</t>
  </si>
  <si>
    <t>% Bajas (Desperdicios Operativos)</t>
  </si>
  <si>
    <t>% Barredura</t>
  </si>
  <si>
    <t>% Total waste</t>
  </si>
  <si>
    <t>% Food waste</t>
  </si>
  <si>
    <t>Recup.</t>
  </si>
  <si>
    <t>% IPFM</t>
  </si>
  <si>
    <t>OEE1</t>
  </si>
  <si>
    <t>OEE2</t>
  </si>
  <si>
    <t>Efect</t>
  </si>
  <si>
    <t>Rend.</t>
  </si>
  <si>
    <t>Fill Rate 1</t>
  </si>
  <si>
    <t>% CU</t>
  </si>
  <si>
    <t>META%</t>
  </si>
  <si>
    <t>FECHA</t>
  </si>
  <si>
    <t>INICIO</t>
  </si>
  <si>
    <t>FINAL</t>
  </si>
  <si>
    <t>GBC</t>
  </si>
  <si>
    <t>Diario</t>
  </si>
  <si>
    <t>MANUAL</t>
  </si>
  <si>
    <t>Acumulado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</si>
  <si>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</si>
  <si>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</si>
  <si>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</si>
  <si>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</si>
  <si>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</si>
  <si>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</si>
  <si>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</si>
  <si>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</si>
  <si>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</si>
  <si>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</si>
  <si>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</si>
  <si>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</si>
  <si>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</si>
  <si>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</si>
  <si>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</si>
  <si>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</si>
  <si>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</si>
  <si>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</si>
  <si>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</si>
  <si>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</si>
  <si>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</si>
  <si>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</si>
  <si>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</si>
  <si>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</si>
  <si>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</si>
  <si>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</si>
  <si>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</si>
  <si>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</si>
  <si>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Sem 29</t>
  </si>
  <si>
    <t>Sem 30</t>
  </si>
  <si>
    <t>Sem 31</t>
  </si>
  <si>
    <t>Sem 32</t>
  </si>
  <si>
    <t>Sem 33</t>
  </si>
  <si>
    <t>Sem 34</t>
  </si>
  <si>
    <t>Sem 35</t>
  </si>
  <si>
    <t>Sem 36</t>
  </si>
  <si>
    <t>Sem 37</t>
  </si>
  <si>
    <t>Sem 38</t>
  </si>
  <si>
    <t>Sem 39</t>
  </si>
  <si>
    <t>Sem 40</t>
  </si>
  <si>
    <t>Sem 41</t>
  </si>
  <si>
    <t>Sem 42</t>
  </si>
  <si>
    <t>Sem 43</t>
  </si>
  <si>
    <t>Sem 44</t>
  </si>
  <si>
    <t>Sem 45</t>
  </si>
  <si>
    <t>Sem 46</t>
  </si>
  <si>
    <t>Sem 47</t>
  </si>
  <si>
    <t>Sem 48</t>
  </si>
  <si>
    <t>Sem 49</t>
  </si>
  <si>
    <t>Sem 50</t>
  </si>
  <si>
    <t>Sem 51</t>
  </si>
  <si>
    <t>Sem 52</t>
  </si>
  <si>
    <t>Sem 53</t>
  </si>
  <si>
    <t>CUPO</t>
  </si>
  <si>
    <t>Duo Pack Pan Artesano Blanco MM 2p</t>
  </si>
  <si>
    <t>SU105902</t>
  </si>
  <si>
    <t>MASA PAN BLANCO ARTESANAL 500G MASA MADRE</t>
  </si>
  <si>
    <t>Pan Blanco Artes MM 1p 500g BOLSA BIM</t>
  </si>
  <si>
    <t>Pan Artesano Blanco MM 8p 4000g CJA BIM</t>
  </si>
  <si>
    <t>INFORME EJECUTIVO DE PRODUCCIÓN</t>
  </si>
  <si>
    <t>KPI que cumplen</t>
  </si>
  <si>
    <t>Desperdicio total (kg)</t>
  </si>
  <si>
    <t>Desperdicio total (%)</t>
  </si>
  <si>
    <t>Capacidad utilizada</t>
  </si>
  <si>
    <t>CUMPLIMIENTO DE METAS</t>
  </si>
  <si>
    <t>LECTURA EJECUTIVA</t>
  </si>
  <si>
    <t>ACCIONES PRIORITARIAS</t>
  </si>
  <si>
    <t>Indicador</t>
  </si>
  <si>
    <t>Actual</t>
  </si>
  <si>
    <t>Meta</t>
  </si>
  <si>
    <t>Brecha</t>
  </si>
  <si>
    <t>Criterio</t>
  </si>
  <si>
    <t>Estado</t>
  </si>
  <si>
    <t>Bajas / desperdicio operativo</t>
  </si>
  <si>
    <t>Barredura / residuos</t>
  </si>
  <si>
    <t>Desperdicio total</t>
  </si>
  <si>
    <t>Desperdicio de alimento</t>
  </si>
  <si>
    <t>Recuperación</t>
  </si>
  <si>
    <t>IPFM</t>
  </si>
  <si>
    <t>Efectividad</t>
  </si>
  <si>
    <t>Rendimiento</t>
  </si>
  <si>
    <t>Menor es mejor</t>
  </si>
  <si>
    <t>Mayor es mejor</t>
  </si>
  <si>
    <t>Tiempo perdido (h)</t>
  </si>
  <si>
    <t>Código</t>
  </si>
  <si>
    <t>Producto</t>
  </si>
  <si>
    <t>Desperdicio (kg)</t>
  </si>
  <si>
    <t>Desperdicio (%)</t>
  </si>
  <si>
    <t>Producción (ton)</t>
  </si>
  <si>
    <t>Food waste (kg)</t>
  </si>
  <si>
    <t>Utilización</t>
  </si>
  <si>
    <t>Comparativo vivo de metas, desperdicio, productividad y pérdidas con todos los registros actuales de PT y OEE2</t>
  </si>
  <si>
    <t>Fill Rate</t>
  </si>
  <si>
    <t>ANÁLISIS OEE2 POR LÍNEA</t>
  </si>
  <si>
    <t>Sin pedido (h)</t>
  </si>
  <si>
    <t>PRINCIPALES CATEGORÍAS DE PÉRDIDA (HORAS)</t>
  </si>
  <si>
    <t>CYL excedido</t>
  </si>
  <si>
    <t>Operación</t>
  </si>
  <si>
    <t>Mecánicos</t>
  </si>
  <si>
    <t>Reducción ritmo</t>
  </si>
  <si>
    <t>Micro paros</t>
  </si>
  <si>
    <t>Fila PT</t>
  </si>
  <si>
    <t>Desperdicio kg</t>
  </si>
  <si>
    <t>Desperdicio %</t>
  </si>
  <si>
    <t>Producto válido</t>
  </si>
  <si>
    <t>Ranking</t>
  </si>
  <si>
    <t>TOP 5 PRODUCTOS POR KILOGRAMOS DE DESPERDICIO</t>
  </si>
  <si>
    <t>ANÁLISIS PT POR LÍNEA</t>
  </si>
  <si>
    <t>Pan bollería / OEE2</t>
  </si>
  <si>
    <t>META PAN BOLLERIA</t>
  </si>
  <si>
    <t>META PANQUELERIA</t>
  </si>
  <si>
    <t>META TORTILLAS</t>
  </si>
  <si>
    <t>RESULTADO GBC</t>
  </si>
  <si>
    <t>RESULTADO MANUAL</t>
  </si>
  <si>
    <t>Sin dato PT/OEE2</t>
  </si>
  <si>
    <t>NO EVALUADO</t>
  </si>
  <si>
    <t>Estado desperdicio vs meta línea</t>
  </si>
  <si>
    <t>Sin clasificar (h)</t>
  </si>
  <si>
    <t>Evaluación OEE / clasificación</t>
  </si>
  <si>
    <t>Sin clasificar</t>
  </si>
  <si>
    <t>Estado clasificación</t>
  </si>
  <si>
    <t>PLANES DE ACCIÓN — INGENIERÍA DE PROCESOS</t>
  </si>
  <si>
    <t>Responsable</t>
  </si>
  <si>
    <t>Plan de acción</t>
  </si>
  <si>
    <t>Fecha compromiso</t>
  </si>
  <si>
    <t>Seguimiento / resultado</t>
  </si>
  <si>
    <t>ENVÍO POR CORREO</t>
  </si>
  <si>
    <t>ENVIAR INFORME
(TI: asignar macro Outlook)</t>
  </si>
  <si>
    <t>Destinatario: Ángel Alberto Vivar Magaña
Correo: completar por TI
Macro sugerida: exportar esta hoja a PDF, adjuntar y abrir el correo para revisión antes de enviar.</t>
  </si>
  <si>
    <t>MASA TORTILLA BIM</t>
  </si>
  <si>
    <t>4787.00*</t>
  </si>
  <si>
    <t>4524.80*</t>
  </si>
  <si>
    <t>1565.80*</t>
  </si>
  <si>
    <t>2450.20*</t>
  </si>
  <si>
    <t>8788.00*</t>
  </si>
  <si>
    <t>823.50*</t>
  </si>
  <si>
    <t>3499.20*</t>
  </si>
  <si>
    <t>3570.04*</t>
  </si>
  <si>
    <t>29607.00*</t>
  </si>
  <si>
    <t>3472.00*</t>
  </si>
  <si>
    <t>5291.00*</t>
  </si>
  <si>
    <t>76958.70*</t>
  </si>
  <si>
    <t>149785.20*</t>
  </si>
  <si>
    <t>19316.80*</t>
  </si>
  <si>
    <t>7060.80*</t>
  </si>
  <si>
    <t>3546.80*</t>
  </si>
  <si>
    <t>9878.40*</t>
  </si>
  <si>
    <t>42525.00*</t>
  </si>
  <si>
    <t>2513.70*</t>
  </si>
  <si>
    <t>2070.30*</t>
  </si>
  <si>
    <t>2988.00*</t>
  </si>
  <si>
    <t>23337.99*</t>
  </si>
  <si>
    <t>71523.00*</t>
  </si>
  <si>
    <t>58635.90*</t>
  </si>
  <si>
    <t>121614.08*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</si>
</sst>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#,##0.0000"/>
    <numFmt numFmtId="165" formatCode="0000"/>
    <numFmt numFmtId="166" formatCode="#,##0.0"/>
    <numFmt numFmtId="167" formatCode="0.0%"/>
    <numFmt numFmtId="168" formatCode="#,##0.00&quot; kg&quot;"/>
    <numFmt numFmtId="169" formatCode="dd\-mmm\-yyyy"/>
  </numFmts>
  <fonts count="25" x14ac:knownFonts="1">
    <font>
      <sz val="12"/>
      <name val="Calibri"/>
    </font>
    <font>
      <sz val="10"/>
      <name val="Arial Nova Light"/>
      <family val="2"/>
    </font>
    <font>
      <b/>
      <sz val="8"/>
      <name val="Arial Nova Light"/>
      <family val="2"/>
    </font>
    <font>
      <sz val="12"/>
      <name val="Calibri"/>
      <family val="2"/>
    </font>
    <font>
      <sz val="10"/>
      <color theme="0"/>
      <name val="Arial Nova Light"/>
      <family val="2"/>
    </font>
    <font>
      <b/>
      <sz val="10"/>
      <name val="Arial Nova Light"/>
      <family val="2"/>
    </font>
    <font>
      <sz val="12"/>
      <name val="Calibri"/>
      <family val="2"/>
    </font>
    <font>
      <sz val="12"/>
      <name val="Century Gothic"/>
      <family val="2"/>
    </font>
    <font>
      <sz val="10"/>
      <name val="Century Gothic"/>
      <family val="2"/>
    </font>
    <font>
      <sz val="10"/>
      <color theme="0"/>
      <name val="Century Gothic"/>
      <family val="2"/>
    </font>
    <font>
      <b/>
      <sz val="8"/>
      <name val="Century Gothic"/>
      <family val="2"/>
    </font>
    <font>
      <b/>
      <sz val="10"/>
      <name val="Century Gothic"/>
      <family val="2"/>
    </font>
    <font>
      <b/>
      <sz val="10"/>
      <color theme="0"/>
      <name val="Arial Nova"/>
      <family val="2"/>
    </font>
    <font>
      <sz val="8"/>
      <name val="Calibri"/>
      <family val="2"/>
    </font>
    <font>
      <b/>
      <sz val="9"/>
      <color indexed="81"/>
      <name val="Tahoma"/>
      <family val="2"/>
    </font>
    <font>
      <sz val="12"/>
      <name val="Aptos Light"/>
      <family val="2"/>
    </font>
    <font>
      <b/>
      <sz val="12"/>
      <name val="Aptos Light"/>
      <family val="2"/>
    </font>
    <font>
      <sz val="12"/>
      <color theme="1"/>
      <name val="Aptos Light"/>
      <family val="2"/>
    </font>
    <font>
      <b/>
      <sz val="12"/>
      <color theme="1"/>
      <name val="Aptos Light"/>
      <family val="2"/>
    </font>
    <font>
      <b/>
      <sz val="12"/>
      <color rgb="FFFFFFFF"/>
      <name val="Aptos Light"/>
      <family val="2"/>
    </font>
    <font>
      <sz val="12"/>
      <color rgb="FF333333"/>
      <name val="Aptos Light"/>
      <family val="2"/>
    </font>
    <font>
      <b/>
      <sz val="12"/>
      <color rgb="FF595959"/>
      <name val="Aptos Light"/>
      <family val="2"/>
    </font>
    <font>
      <sz val="12"/>
      <color rgb="FF595959"/>
      <name val="Aptos Light"/>
      <family val="2"/>
    </font>
    <font>
      <i/>
      <sz val="12"/>
      <color rgb="FF666666"/>
      <name val="Aptos Light"/>
      <family val="2"/>
    </font>
    <font>
      <b/>
      <sz val="12"/>
      <color rgb="FF17365D"/>
      <name val="Aptos Light"/>
      <family val="2"/>
    </font>
  </fonts>
  <fills count="19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D3D3D3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7F9FC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theme="0" tint="-4.9989318521683403E-2"/>
      </left>
      <right style="medium">
        <color theme="0" tint="-4.9989318521683403E-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14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9" fontId="1" fillId="0" borderId="0" xfId="1" applyFont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0" fontId="1" fillId="0" borderId="0" xfId="0" quotePrefix="1" applyFont="1"/>
    <xf numFmtId="165" fontId="1" fillId="0" borderId="0" xfId="0" applyNumberFormat="1" applyFont="1"/>
    <xf numFmtId="0" fontId="7" fillId="0" borderId="0" xfId="0" applyFont="1"/>
    <xf numFmtId="0" fontId="8" fillId="4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4" fontId="8" fillId="2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4" fontId="7" fillId="0" borderId="0" xfId="0" applyNumberFormat="1" applyFont="1"/>
    <xf numFmtId="0" fontId="8" fillId="0" borderId="0" xfId="0" applyFont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/>
    </xf>
    <xf numFmtId="164" fontId="8" fillId="8" borderId="1" xfId="0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9" fontId="8" fillId="0" borderId="0" xfId="1" applyFont="1" applyAlignment="1">
      <alignment horizontal="center"/>
    </xf>
    <xf numFmtId="10" fontId="8" fillId="0" borderId="0" xfId="0" applyNumberFormat="1" applyFont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/>
    </xf>
    <xf numFmtId="165" fontId="8" fillId="2" borderId="1" xfId="0" applyNumberFormat="1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/>
    </xf>
    <xf numFmtId="165" fontId="8" fillId="3" borderId="1" xfId="0" applyNumberFormat="1" applyFont="1" applyFill="1" applyBorder="1" applyAlignment="1">
      <alignment horizontal="center"/>
    </xf>
    <xf numFmtId="0" fontId="8" fillId="0" borderId="0" xfId="0" quotePrefix="1" applyFont="1"/>
    <xf numFmtId="4" fontId="8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center"/>
    </xf>
    <xf numFmtId="0" fontId="12" fillId="9" borderId="4" xfId="0" applyFont="1" applyFill="1" applyBorder="1" applyAlignment="1" applyProtection="1">
      <alignment horizontal="center" vertical="center" wrapText="1"/>
      <protection hidden="1"/>
    </xf>
    <xf numFmtId="2" fontId="8" fillId="0" borderId="1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/>
    </xf>
    <xf numFmtId="164" fontId="11" fillId="10" borderId="1" xfId="0" applyNumberFormat="1" applyFont="1" applyFill="1" applyBorder="1" applyAlignment="1">
      <alignment horizontal="center"/>
    </xf>
    <xf numFmtId="0" fontId="11" fillId="10" borderId="1" xfId="0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11" fillId="3" borderId="1" xfId="0" applyFont="1" applyFill="1" applyBorder="1" applyAlignment="1">
      <alignment horizontal="center"/>
    </xf>
    <xf numFmtId="4" fontId="11" fillId="10" borderId="1" xfId="0" applyNumberFormat="1" applyFont="1" applyFill="1" applyBorder="1" applyAlignment="1">
      <alignment horizontal="center"/>
    </xf>
    <xf numFmtId="0" fontId="15" fillId="4" borderId="0" xfId="0" applyFont="1" applyFill="1"/>
    <xf numFmtId="10" fontId="15" fillId="4" borderId="1" xfId="1" applyNumberFormat="1" applyFont="1" applyFill="1" applyBorder="1" applyAlignment="1">
      <alignment horizontal="right"/>
    </xf>
    <xf numFmtId="9" fontId="15" fillId="4" borderId="1" xfId="1" applyFont="1" applyFill="1" applyBorder="1" applyAlignment="1">
      <alignment horizontal="right"/>
    </xf>
    <xf numFmtId="10" fontId="15" fillId="4" borderId="1" xfId="1" applyNumberFormat="1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right" vertical="center"/>
    </xf>
    <xf numFmtId="9" fontId="15" fillId="4" borderId="1" xfId="0" applyNumberFormat="1" applyFont="1" applyFill="1" applyBorder="1" applyAlignment="1">
      <alignment horizontal="right"/>
    </xf>
    <xf numFmtId="10" fontId="15" fillId="4" borderId="1" xfId="0" applyNumberFormat="1" applyFont="1" applyFill="1" applyBorder="1" applyAlignment="1">
      <alignment horizontal="right"/>
    </xf>
    <xf numFmtId="0" fontId="15" fillId="4" borderId="5" xfId="0" applyFont="1" applyFill="1" applyBorder="1" applyAlignment="1">
      <alignment horizontal="center"/>
    </xf>
    <xf numFmtId="43" fontId="15" fillId="4" borderId="5" xfId="2" applyFont="1" applyFill="1" applyBorder="1" applyAlignment="1">
      <alignment horizontal="right" vertical="center"/>
    </xf>
    <xf numFmtId="0" fontId="15" fillId="4" borderId="5" xfId="0" applyFont="1" applyFill="1" applyBorder="1" applyAlignment="1">
      <alignment horizontal="right"/>
    </xf>
    <xf numFmtId="4" fontId="15" fillId="4" borderId="5" xfId="0" applyNumberFormat="1" applyFont="1" applyFill="1" applyBorder="1" applyAlignment="1">
      <alignment horizontal="right"/>
    </xf>
    <xf numFmtId="9" fontId="15" fillId="4" borderId="5" xfId="0" applyNumberFormat="1" applyFont="1" applyFill="1" applyBorder="1" applyAlignment="1">
      <alignment horizontal="right"/>
    </xf>
    <xf numFmtId="166" fontId="15" fillId="4" borderId="5" xfId="0" applyNumberFormat="1" applyFont="1" applyFill="1" applyBorder="1" applyAlignment="1">
      <alignment horizontal="right"/>
    </xf>
    <xf numFmtId="0" fontId="15" fillId="4" borderId="1" xfId="0" applyFont="1" applyFill="1" applyBorder="1"/>
    <xf numFmtId="43" fontId="15" fillId="4" borderId="1" xfId="2" applyFont="1" applyFill="1" applyBorder="1" applyAlignment="1">
      <alignment horizontal="right" vertical="center"/>
    </xf>
    <xf numFmtId="0" fontId="15" fillId="4" borderId="1" xfId="0" applyFont="1" applyFill="1" applyBorder="1" applyAlignment="1">
      <alignment horizontal="right"/>
    </xf>
    <xf numFmtId="4" fontId="15" fillId="4" borderId="1" xfId="0" applyNumberFormat="1" applyFont="1" applyFill="1" applyBorder="1" applyAlignment="1">
      <alignment horizontal="right"/>
    </xf>
    <xf numFmtId="166" fontId="15" fillId="4" borderId="1" xfId="0" applyNumberFormat="1" applyFont="1" applyFill="1" applyBorder="1" applyAlignment="1">
      <alignment horizontal="right"/>
    </xf>
    <xf numFmtId="9" fontId="17" fillId="4" borderId="1" xfId="1" applyFont="1" applyFill="1" applyBorder="1" applyAlignment="1">
      <alignment horizontal="center"/>
    </xf>
    <xf numFmtId="4" fontId="15" fillId="4" borderId="1" xfId="0" applyNumberFormat="1" applyFont="1" applyFill="1" applyBorder="1" applyAlignment="1">
      <alignment horizontal="right" vertical="center"/>
    </xf>
    <xf numFmtId="2" fontId="15" fillId="4" borderId="1" xfId="0" applyNumberFormat="1" applyFont="1" applyFill="1" applyBorder="1" applyAlignment="1">
      <alignment horizontal="right"/>
    </xf>
    <xf numFmtId="4" fontId="15" fillId="4" borderId="1" xfId="0" applyNumberFormat="1" applyFont="1" applyFill="1" applyBorder="1"/>
    <xf numFmtId="9" fontId="15" fillId="4" borderId="1" xfId="1" applyFont="1" applyFill="1" applyBorder="1"/>
    <xf numFmtId="2" fontId="15" fillId="4" borderId="1" xfId="0" applyNumberFormat="1" applyFont="1" applyFill="1" applyBorder="1"/>
    <xf numFmtId="16" fontId="15" fillId="4" borderId="6" xfId="0" applyNumberFormat="1" applyFont="1" applyFill="1" applyBorder="1" applyAlignment="1">
      <alignment horizontal="center"/>
    </xf>
    <xf numFmtId="9" fontId="18" fillId="4" borderId="1" xfId="1" applyFont="1" applyFill="1" applyBorder="1" applyAlignment="1">
      <alignment horizontal="center"/>
    </xf>
    <xf numFmtId="16" fontId="15" fillId="4" borderId="1" xfId="0" applyNumberFormat="1" applyFont="1" applyFill="1" applyBorder="1" applyAlignment="1">
      <alignment horizontal="center"/>
    </xf>
    <xf numFmtId="9" fontId="17" fillId="4" borderId="0" xfId="1" applyFont="1" applyFill="1" applyAlignment="1">
      <alignment horizontal="center"/>
    </xf>
    <xf numFmtId="4" fontId="15" fillId="4" borderId="0" xfId="0" applyNumberFormat="1" applyFont="1" applyFill="1" applyAlignment="1">
      <alignment horizontal="right" vertical="center"/>
    </xf>
    <xf numFmtId="4" fontId="15" fillId="4" borderId="0" xfId="0" applyNumberFormat="1" applyFont="1" applyFill="1" applyAlignment="1">
      <alignment horizontal="right"/>
    </xf>
    <xf numFmtId="9" fontId="15" fillId="4" borderId="0" xfId="0" applyNumberFormat="1" applyFont="1" applyFill="1" applyAlignment="1">
      <alignment horizontal="right"/>
    </xf>
    <xf numFmtId="2" fontId="15" fillId="4" borderId="0" xfId="0" applyNumberFormat="1" applyFont="1" applyFill="1" applyAlignment="1">
      <alignment horizontal="right"/>
    </xf>
    <xf numFmtId="0" fontId="15" fillId="4" borderId="0" xfId="0" applyFont="1" applyFill="1" applyAlignment="1">
      <alignment horizontal="right"/>
    </xf>
    <xf numFmtId="4" fontId="15" fillId="4" borderId="0" xfId="0" applyNumberFormat="1" applyFont="1" applyFill="1"/>
    <xf numFmtId="9" fontId="15" fillId="4" borderId="0" xfId="1" applyFont="1" applyFill="1"/>
    <xf numFmtId="2" fontId="15" fillId="4" borderId="0" xfId="0" applyNumberFormat="1" applyFont="1" applyFill="1"/>
    <xf numFmtId="9" fontId="16" fillId="10" borderId="1" xfId="1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vertical="center"/>
    </xf>
    <xf numFmtId="0" fontId="16" fillId="10" borderId="1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/>
    </xf>
    <xf numFmtId="9" fontId="16" fillId="4" borderId="1" xfId="1" applyFont="1" applyFill="1" applyBorder="1" applyAlignment="1">
      <alignment horizontal="center" vertical="center" wrapText="1"/>
    </xf>
    <xf numFmtId="9" fontId="16" fillId="4" borderId="5" xfId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/>
    </xf>
    <xf numFmtId="0" fontId="15" fillId="0" borderId="0" xfId="0" applyFont="1"/>
    <xf numFmtId="0" fontId="19" fillId="14" borderId="15" xfId="0" applyFont="1" applyFill="1" applyBorder="1" applyAlignment="1">
      <alignment horizontal="center" wrapText="1"/>
    </xf>
    <xf numFmtId="0" fontId="15" fillId="0" borderId="15" xfId="0" applyFont="1" applyBorder="1" applyAlignment="1">
      <alignment wrapText="1"/>
    </xf>
    <xf numFmtId="10" fontId="15" fillId="0" borderId="15" xfId="0" applyNumberFormat="1" applyFont="1" applyBorder="1"/>
    <xf numFmtId="0" fontId="15" fillId="0" borderId="15" xfId="0" applyFont="1" applyBorder="1"/>
    <xf numFmtId="0" fontId="21" fillId="17" borderId="15" xfId="0" applyFont="1" applyFill="1" applyBorder="1"/>
    <xf numFmtId="167" fontId="15" fillId="0" borderId="15" xfId="0" applyNumberFormat="1" applyFont="1" applyBorder="1"/>
    <xf numFmtId="2" fontId="15" fillId="0" borderId="15" xfId="0" applyNumberFormat="1" applyFont="1" applyBorder="1"/>
    <xf numFmtId="2" fontId="15" fillId="0" borderId="15" xfId="0" applyNumberFormat="1" applyFont="1" applyBorder="1" applyAlignment="1">
      <alignment wrapText="1"/>
    </xf>
    <xf numFmtId="0" fontId="16" fillId="16" borderId="15" xfId="0" applyFont="1" applyFill="1" applyBorder="1"/>
    <xf numFmtId="167" fontId="16" fillId="16" borderId="15" xfId="0" applyNumberFormat="1" applyFont="1" applyFill="1" applyBorder="1"/>
    <xf numFmtId="2" fontId="16" fillId="16" borderId="15" xfId="0" applyNumberFormat="1" applyFont="1" applyFill="1" applyBorder="1"/>
    <xf numFmtId="4" fontId="15" fillId="0" borderId="15" xfId="0" applyNumberFormat="1" applyFont="1" applyBorder="1"/>
    <xf numFmtId="4" fontId="16" fillId="16" borderId="15" xfId="0" applyNumberFormat="1" applyFont="1" applyFill="1" applyBorder="1"/>
    <xf numFmtId="10" fontId="16" fillId="16" borderId="15" xfId="0" applyNumberFormat="1" applyFont="1" applyFill="1" applyBorder="1"/>
    <xf numFmtId="0" fontId="15" fillId="11" borderId="15" xfId="0" applyFont="1" applyFill="1" applyBorder="1" applyAlignment="1">
      <alignment wrapText="1"/>
    </xf>
    <xf numFmtId="169" fontId="15" fillId="11" borderId="15" xfId="0" applyNumberFormat="1" applyFont="1" applyFill="1" applyBorder="1" applyAlignment="1">
      <alignment wrapText="1"/>
    </xf>
    <xf numFmtId="2" fontId="15" fillId="4" borderId="5" xfId="0" applyNumberFormat="1" applyFont="1" applyFill="1" applyBorder="1" applyAlignment="1">
      <alignment horizontal="right"/>
    </xf>
    <xf numFmtId="0" fontId="15" fillId="4" borderId="1" xfId="0" applyFont="1" applyFill="1" applyBorder="1" applyAlignment="1">
      <alignment horizontal="center" wrapText="1"/>
    </xf>
    <xf numFmtId="16" fontId="15" fillId="4" borderId="1" xfId="0" applyNumberFormat="1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9" fillId="15" borderId="0" xfId="0" applyFont="1" applyFill="1"/>
    <xf numFmtId="0" fontId="24" fillId="12" borderId="9" xfId="0" applyFont="1" applyFill="1" applyBorder="1" applyAlignment="1">
      <alignment horizontal="center" vertical="center" wrapText="1"/>
    </xf>
    <xf numFmtId="0" fontId="24" fillId="12" borderId="7" xfId="0" applyFont="1" applyFill="1" applyBorder="1" applyAlignment="1">
      <alignment horizontal="center" vertical="center"/>
    </xf>
    <xf numFmtId="0" fontId="24" fillId="12" borderId="11" xfId="0" applyFont="1" applyFill="1" applyBorder="1" applyAlignment="1">
      <alignment horizontal="center" vertical="center"/>
    </xf>
    <xf numFmtId="0" fontId="24" fillId="12" borderId="13" xfId="0" applyFont="1" applyFill="1" applyBorder="1" applyAlignment="1">
      <alignment horizontal="center" vertical="center"/>
    </xf>
    <xf numFmtId="0" fontId="24" fillId="12" borderId="0" xfId="0" applyFont="1" applyFill="1" applyAlignment="1">
      <alignment horizontal="center" vertical="center"/>
    </xf>
    <xf numFmtId="0" fontId="24" fillId="12" borderId="14" xfId="0" applyFont="1" applyFill="1" applyBorder="1" applyAlignment="1">
      <alignment horizontal="center" vertical="center"/>
    </xf>
    <xf numFmtId="0" fontId="24" fillId="12" borderId="10" xfId="0" applyFont="1" applyFill="1" applyBorder="1" applyAlignment="1">
      <alignment horizontal="center" vertical="center"/>
    </xf>
    <xf numFmtId="0" fontId="24" fillId="12" borderId="8" xfId="0" applyFont="1" applyFill="1" applyBorder="1" applyAlignment="1">
      <alignment horizontal="center" vertical="center"/>
    </xf>
    <xf numFmtId="0" fontId="24" fillId="12" borderId="12" xfId="0" applyFont="1" applyFill="1" applyBorder="1" applyAlignment="1">
      <alignment horizontal="center" vertical="center"/>
    </xf>
    <xf numFmtId="0" fontId="22" fillId="18" borderId="0" xfId="0" applyFont="1" applyFill="1" applyAlignment="1">
      <alignment wrapText="1"/>
    </xf>
    <xf numFmtId="0" fontId="19" fillId="15" borderId="0" xfId="0" applyFont="1" applyFill="1" applyAlignment="1">
      <alignment horizontal="left"/>
    </xf>
    <xf numFmtId="0" fontId="15" fillId="0" borderId="15" xfId="0" applyFont="1" applyBorder="1" applyAlignment="1">
      <alignment vertical="center" wrapText="1"/>
    </xf>
    <xf numFmtId="0" fontId="19" fillId="14" borderId="15" xfId="0" applyFont="1" applyFill="1" applyBorder="1" applyAlignment="1">
      <alignment horizontal="center" wrapText="1"/>
    </xf>
    <xf numFmtId="0" fontId="15" fillId="11" borderId="15" xfId="0" applyFont="1" applyFill="1" applyBorder="1" applyAlignment="1">
      <alignment wrapText="1"/>
    </xf>
    <xf numFmtId="0" fontId="19" fillId="14" borderId="0" xfId="0" applyFont="1" applyFill="1" applyAlignment="1">
      <alignment horizontal="center" vertical="center"/>
    </xf>
    <xf numFmtId="0" fontId="23" fillId="0" borderId="0" xfId="0" applyFont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0" fontId="16" fillId="12" borderId="0" xfId="0" applyFont="1" applyFill="1" applyAlignment="1">
      <alignment horizontal="center"/>
    </xf>
    <xf numFmtId="0" fontId="16" fillId="0" borderId="1" xfId="0" applyFont="1" applyBorder="1" applyAlignment="1">
      <alignment horizontal="center"/>
    </xf>
    <xf numFmtId="168" fontId="16" fillId="0" borderId="1" xfId="0" applyNumberFormat="1" applyFont="1" applyBorder="1" applyAlignment="1">
      <alignment horizontal="center"/>
    </xf>
    <xf numFmtId="0" fontId="20" fillId="13" borderId="0" xfId="0" applyFont="1" applyFill="1" applyAlignment="1">
      <alignment vertical="top" wrapText="1"/>
    </xf>
  </cellXfs>
  <cellStyles count="3">
    <cellStyle name="Millares" xfId="2" builtinId="3"/>
    <cellStyle name="Normal" xfId="0" builtinId="0"/>
    <cellStyle name="Porcentaje" xfId="1" builtinId="5"/>
  </cellStyles>
  <dxfs count="50"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006100"/>
      </font>
      <fill>
        <patternFill patternType="solid">
          <fgColor indexed="64"/>
          <bgColor rgb="FFC6E0B4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006100"/>
      </font>
      <fill>
        <patternFill patternType="solid">
          <fgColor indexed="64"/>
          <bgColor rgb="FFC6E0B4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006100"/>
      </font>
      <fill>
        <patternFill patternType="solid">
          <fgColor indexed="64"/>
          <bgColor rgb="FFC6E0B4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006100"/>
      </font>
      <fill>
        <patternFill patternType="solid">
          <fgColor indexed="64"/>
          <bgColor rgb="FFC6E0B4"/>
        </patternFill>
      </fill>
    </dxf>
    <dxf>
      <font>
        <b/>
        <i val="0"/>
        <color rgb="FF9C0006"/>
      </font>
      <fill>
        <patternFill patternType="solid">
          <fgColor indexed="64"/>
          <bgColor rgb="FFF4CCCC"/>
        </patternFill>
      </fill>
    </dxf>
    <dxf>
      <font>
        <b/>
        <i val="0"/>
        <color rgb="FF006100"/>
      </font>
      <fill>
        <patternFill patternType="solid">
          <fgColor indexed="64"/>
          <bgColor rgb="FFC6E0B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2D05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2D05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2D05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6B6B"/>
        </patternFill>
      </fill>
    </dxf>
    <dxf>
      <fill>
        <patternFill patternType="solid">
          <fgColor indexed="64"/>
          <bgColor rgb="FF92D050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OEE1, OEE2 y capacidad por línea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'INFORME EJECUTIVO'!$B$22</c:f>
              <c:strCache>
                <c:ptCount val="1"/>
                <c:pt idx="0">
                  <c:v>Capacidad utilizada</c:v>
                </c:pt>
              </c:strCache>
            </c:strRef>
          </c:tx>
          <c:spPr>
            <a:solidFill>
              <a:srgbClr val="5B9BD5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'INFORME EJECUTIVO'!$A$23:$A$25</c:f>
              <c:strCache>
                <c:ptCount val="3"/>
                <c:pt idx="0">
                  <c:v>Pan bolleria</c:v>
                </c:pt>
                <c:pt idx="1">
                  <c:v>Panqueleria</c:v>
                </c:pt>
                <c:pt idx="2">
                  <c:v>Tortillas</c:v>
                </c:pt>
              </c:strCache>
            </c:strRef>
          </c:cat>
          <c:val>
            <c:numRef>
              <c:f>'INFORME EJECUTIVO'!$B$23:$B$25</c:f>
              <c:numCache>
                <c:formatCode>0.0%</c:formatCode>
                <c:ptCount val="3"/>
                <c:pt idx="0">
                  <c:v>0.31920000000000004</c:v>
                </c:pt>
                <c:pt idx="1">
                  <c:v>0.24640000000000001</c:v>
                </c:pt>
                <c:pt idx="2">
                  <c:v>0.49590000000000001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0-4132-BE62-A3ED249E60CB}"/>
            </c:ext>
          </c:extLst>
        </c:ser>
        <c:ser>
          <c:idx val="1"/>
          <c:order val="1"/>
          <c:tx>
            <c:strRef>
              <c:f>'INFORME EJECUTIVO'!$C$22</c:f>
              <c:strCache>
                <c:ptCount val="1"/>
                <c:pt idx="0">
                  <c:v>OEE1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'INFORME EJECUTIVO'!$A$23:$A$25</c:f>
              <c:strCache>
                <c:ptCount val="3"/>
                <c:pt idx="0">
                  <c:v>Pan bolleria</c:v>
                </c:pt>
                <c:pt idx="1">
                  <c:v>Panqueleria</c:v>
                </c:pt>
                <c:pt idx="2">
                  <c:v>Tortillas</c:v>
                </c:pt>
              </c:strCache>
            </c:strRef>
          </c:cat>
          <c:val>
            <c:numRef>
              <c:f>'INFORME EJECUTIVO'!$C$23:$C$25</c:f>
              <c:numCache>
                <c:formatCode>0.0%</c:formatCode>
                <c:ptCount val="3"/>
                <c:pt idx="0">
                  <c:v>0.2757</c:v>
                </c:pt>
                <c:pt idx="1">
                  <c:v>0.2407</c:v>
                </c:pt>
                <c:pt idx="2">
                  <c:v>0.48039999999999999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20-4132-BE62-A3ED249E60CB}"/>
            </c:ext>
          </c:extLst>
        </c:ser>
        <c:ser>
          <c:idx val="2"/>
          <c:order val="2"/>
          <c:tx>
            <c:strRef>
              <c:f>'INFORME EJECUTIVO'!$D$22</c:f>
              <c:strCache>
                <c:ptCount val="1"/>
                <c:pt idx="0">
                  <c:v>OEE2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'INFORME EJECUTIVO'!$A$23:$A$25</c:f>
              <c:strCache>
                <c:ptCount val="3"/>
                <c:pt idx="0">
                  <c:v>Pan bolleria</c:v>
                </c:pt>
                <c:pt idx="1">
                  <c:v>Panqueleria</c:v>
                </c:pt>
                <c:pt idx="2">
                  <c:v>Tortillas</c:v>
                </c:pt>
              </c:strCache>
            </c:strRef>
          </c:cat>
          <c:val>
            <c:numRef>
              <c:f>'INFORME EJECUTIVO'!$D$23:$D$25</c:f>
              <c:numCache>
                <c:formatCode>0.0%</c:formatCode>
                <c:ptCount val="3"/>
                <c:pt idx="0">
                  <c:v>0.8637999999999999</c:v>
                </c:pt>
                <c:pt idx="1">
                  <c:v>0.97670000000000001</c:v>
                </c:pt>
                <c:pt idx="2">
                  <c:v>0.96860000000000002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20-4132-BE62-A3ED249E6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7375119"/>
        <c:axId val="1184039471"/>
      </c:barChart>
      <c:catAx>
        <c:axId val="457375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4039471"/>
        <c:crosses val="autoZero"/>
        <c:auto val="1"/>
        <c:lblAlgn val="ctr"/>
        <c:lblOffset val="100"/>
        <c:noMultiLvlLbl val="0"/>
      </c:catAx>
      <c:valAx>
        <c:axId val="1184039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Porcentaje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7375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productos por desperdicio (kg)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'INFORME EJECUTIVO'!$E$35</c:f>
              <c:strCache>
                <c:ptCount val="1"/>
                <c:pt idx="0">
                  <c:v>Desperdicio (kg)</c:v>
                </c:pt>
              </c:strCache>
            </c:strRef>
          </c:tx>
          <c:spPr>
            <a:solidFill>
              <a:srgbClr val="C55A11"/>
            </a:solidFill>
            <a:ln>
              <a:noFill/>
            </a:ln>
            <a:effectLst/>
          </c:spPr>
          <c:invertIfNegative val="0"/>
          <c:dLbls>
            <c:numFmt formatCode="#,##0.0&quot; kg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'INFORME EJECUTIVO'!$D$36:$D$40</c:f>
              <c:strCache>
                <c:ptCount val="5"/>
                <c:pt idx="0">
                  <c:v>Pan Mantequilla 1p 550g Bolsa LAL</c:v>
                </c:pt>
                <c:pt idx="1">
                  <c:v>Ponque Redondo Vainilla 1p 200g FLOW BIM</c:v>
                </c:pt>
                <c:pt idx="2">
                  <c:v>Pan Blanco PRO 1p 470g BOLSA BIM</c:v>
                </c:pt>
                <c:pt idx="3">
                  <c:v>Pan Vital Fruticereal 1p 500g Bolsa BIM</c:v>
                </c:pt>
                <c:pt idx="4">
                  <c:v>Pan Blanco 1p 450g BOLSA LAL</c:v>
                </c:pt>
              </c:strCache>
            </c:strRef>
          </c:cat>
          <c:val>
            <c:numRef>
              <c:f>'INFORME EJECUTIVO'!$E$36:$E$40</c:f>
              <c:numCache>
                <c:formatCode>#,##0.00</c:formatCode>
                <c:ptCount val="5"/>
                <c:pt idx="0">
                  <c:v>185.93</c:v>
                </c:pt>
                <c:pt idx="1">
                  <c:v>183.5</c:v>
                </c:pt>
                <c:pt idx="2">
                  <c:v>149.4</c:v>
                </c:pt>
                <c:pt idx="3">
                  <c:v>138.5</c:v>
                </c:pt>
                <c:pt idx="4">
                  <c:v>112.48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E-45F4-A99B-4BECD7A8C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338463"/>
        <c:axId val="1184074031"/>
      </c:barChart>
      <c:catAx>
        <c:axId val="457338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84074031"/>
        <c:crosses val="autoZero"/>
        <c:auto val="1"/>
        <c:lblAlgn val="ctr"/>
        <c:lblOffset val="100"/>
        <c:noMultiLvlLbl val="0"/>
      </c:catAx>
      <c:valAx>
        <c:axId val="118407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Kilogramos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#,##0&quot; kg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57338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6</xdr:row>
      <xdr:rowOff>0</xdr:rowOff>
    </xdr:from>
    <xdr:to>
      <xdr:col>18</xdr:col>
      <xdr:colOff>304800</xdr:colOff>
      <xdr:row>7</xdr:row>
      <xdr:rowOff>85725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C12FAA2C-840A-293E-E566-96F7BB706F58}"/>
            </a:ext>
          </a:extLst>
        </xdr:cNvPr>
        <xdr:cNvSpPr>
          <a:spLocks noChangeAspect="1" noChangeArrowheads="1"/>
        </xdr:cNvSpPr>
      </xdr:nvSpPr>
      <xdr:spPr bwMode="auto">
        <a:xfrm>
          <a:off x="12334875" y="12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304800</xdr:colOff>
      <xdr:row>9</xdr:row>
      <xdr:rowOff>85725</xdr:rowOff>
    </xdr:to>
    <xdr:sp macro="" textlink="">
      <xdr:nvSpPr>
        <xdr:cNvPr id="1027" name="AutoShape 3">
          <a:extLst>
            <a:ext uri="{FF2B5EF4-FFF2-40B4-BE49-F238E27FC236}">
              <a16:creationId xmlns:a16="http://schemas.microsoft.com/office/drawing/2014/main" id="{7DBE86B5-8262-0F59-9A09-F21986A877C1}"/>
            </a:ext>
          </a:extLst>
        </xdr:cNvPr>
        <xdr:cNvSpPr>
          <a:spLocks noChangeAspect="1" noChangeArrowheads="1"/>
        </xdr:cNvSpPr>
      </xdr:nvSpPr>
      <xdr:spPr bwMode="auto">
        <a:xfrm>
          <a:off x="13144500" y="16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19</xdr:col>
      <xdr:colOff>0</xdr:colOff>
      <xdr:row>7</xdr:row>
      <xdr:rowOff>0</xdr:rowOff>
    </xdr:from>
    <xdr:ext cx="304800" cy="304800"/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D547C013-995D-4A0F-9E77-671D86B7E1EB}"/>
            </a:ext>
          </a:extLst>
        </xdr:cNvPr>
        <xdr:cNvSpPr>
          <a:spLocks noChangeAspect="1" noChangeArrowheads="1"/>
        </xdr:cNvSpPr>
      </xdr:nvSpPr>
      <xdr:spPr bwMode="auto">
        <a:xfrm>
          <a:off x="13144500" y="169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20</xdr:row>
      <xdr:rowOff>0</xdr:rowOff>
    </xdr:from>
    <xdr:to>
      <xdr:col>13</xdr:col>
      <xdr:colOff>0</xdr:colOff>
      <xdr:row>31</xdr:row>
      <xdr:rowOff>228600</xdr:rowOff>
    </xdr:to>
    <xdr:graphicFrame macro="">
      <xdr:nvGraphicFramePr>
        <xdr:cNvPr id="4" name="OEE y capacidad por línea">
          <a:extLst>
            <a:ext uri="{FF2B5EF4-FFF2-40B4-BE49-F238E27FC236}">
              <a16:creationId xmlns:a16="http://schemas.microsoft.com/office/drawing/2014/main" id="{6AF230F7-F8CA-2677-3FA4-CB4CA52F84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13</xdr:col>
      <xdr:colOff>0</xdr:colOff>
      <xdr:row>47</xdr:row>
      <xdr:rowOff>203200</xdr:rowOff>
    </xdr:to>
    <xdr:graphicFrame macro="">
      <xdr:nvGraphicFramePr>
        <xdr:cNvPr id="5" name="Top productos por desperdicio">
          <a:extLst>
            <a:ext uri="{FF2B5EF4-FFF2-40B4-BE49-F238E27FC236}">
              <a16:creationId xmlns:a16="http://schemas.microsoft.com/office/drawing/2014/main" id="{C701BB8F-5ED1-3FCD-90C6-F5884C186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2:Z6"/>
  <sheetViews>
    <sheetView showGridLines="0" workbookViewId="0">
      <selection activeCell="D5" sqref="D5"/>
    </sheetView>
  </sheetViews>
  <sheetFormatPr baseColWidth="10" defaultColWidth="10.625" defaultRowHeight="17.25" x14ac:dyDescent="0.3"/>
  <cols>
    <col min="1" max="1" width="5.625" style="16" customWidth="1"/>
    <col min="2" max="2" width="1.875" style="16" bestFit="1" customWidth="1"/>
    <col min="3" max="3" width="5" style="16" bestFit="1" customWidth="1"/>
    <col min="4" max="4" width="12.625" style="16" customWidth="1"/>
    <col min="5" max="5" width="12.875" style="16" bestFit="1" customWidth="1"/>
    <col min="6" max="6" width="6.625" style="16" bestFit="1" customWidth="1"/>
    <col min="7" max="7" width="6.5" style="16" bestFit="1" customWidth="1"/>
    <col min="8" max="8" width="12.875" style="16" bestFit="1" customWidth="1"/>
    <col min="9" max="9" width="9" style="16" bestFit="1" customWidth="1"/>
    <col min="10" max="10" width="8.375" style="16" bestFit="1" customWidth="1"/>
    <col min="11" max="11" width="10.5" style="16" customWidth="1"/>
    <col min="12" max="12" width="11.125" style="16" customWidth="1"/>
    <col min="13" max="13" width="5.25" style="16" customWidth="1"/>
    <col min="14" max="14" width="9.5" style="16" bestFit="1" customWidth="1"/>
    <col min="15" max="15" width="10" style="16" customWidth="1"/>
    <col min="16" max="16" width="7.875" style="16" bestFit="1" customWidth="1"/>
    <col min="17" max="17" width="9.625" style="16" customWidth="1"/>
    <col min="18" max="19" width="10.625" style="16" customWidth="1"/>
    <col min="20" max="20" width="10.875" style="25" customWidth="1"/>
    <col min="21" max="22" width="4.875" style="16" bestFit="1" customWidth="1"/>
    <col min="23" max="24" width="8.625" style="16" bestFit="1" customWidth="1"/>
    <col min="25" max="25" width="7.375" style="16" bestFit="1" customWidth="1"/>
    <col min="26" max="16384" width="10.625" style="16"/>
  </cols>
  <sheetData>
    <row r="2" spans="2:26" ht="39.950000000000003" customHeight="1" x14ac:dyDescent="0.3">
      <c r="B2" s="18" t="s">
        <v>0</v>
      </c>
      <c r="C2" s="18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11</v>
      </c>
      <c r="N2" s="19" t="s">
        <v>12</v>
      </c>
      <c r="O2" s="19" t="s">
        <v>13</v>
      </c>
      <c r="P2" s="19" t="s">
        <v>14</v>
      </c>
      <c r="Q2" s="19" t="s">
        <v>15</v>
      </c>
      <c r="R2" s="19" t="s">
        <v>16</v>
      </c>
      <c r="S2" s="19" t="s">
        <v>17</v>
      </c>
      <c r="T2" s="20" t="s">
        <v>18</v>
      </c>
      <c r="U2" s="19" t="s">
        <v>19</v>
      </c>
      <c r="V2" s="19" t="s">
        <v>20</v>
      </c>
      <c r="W2" s="19" t="s">
        <v>21</v>
      </c>
      <c r="X2" s="19" t="s">
        <v>22</v>
      </c>
      <c r="Y2" s="21" t="s">
        <v>23</v>
      </c>
      <c r="Z2" s="42" t="s">
        <v>24</v>
      </c>
    </row>
    <row r="3" spans="2:26" x14ac:dyDescent="0.3">
      <c r="B3" s="22">
        <v>1</v>
      </c>
      <c r="C3" s="22"/>
      <c r="D3" s="22" t="s">
        <v>25</v>
      </c>
      <c r="E3" s="23">
        <v>168</v>
      </c>
      <c r="F3" s="23">
        <v>104.27</v>
      </c>
      <c r="G3" s="23">
        <v>10.1</v>
      </c>
      <c r="H3" s="23">
        <v>0</v>
      </c>
      <c r="I3" s="23">
        <v>53.63</v>
      </c>
      <c r="J3" s="23">
        <v>1.54</v>
      </c>
      <c r="K3" s="23">
        <v>0.6</v>
      </c>
      <c r="L3" s="23">
        <v>0.55000000000000004</v>
      </c>
      <c r="M3" s="23">
        <v>0.79</v>
      </c>
      <c r="N3" s="23">
        <v>1.56</v>
      </c>
      <c r="O3" s="24">
        <v>0.32</v>
      </c>
      <c r="P3" s="23">
        <v>0</v>
      </c>
      <c r="Q3" s="24">
        <v>48.27</v>
      </c>
      <c r="R3" s="23">
        <v>31.92</v>
      </c>
      <c r="S3" s="23">
        <v>90</v>
      </c>
      <c r="T3" s="24">
        <v>95.97</v>
      </c>
      <c r="U3" s="23">
        <v>27.57</v>
      </c>
      <c r="V3" s="23">
        <v>86.38</v>
      </c>
      <c r="W3" s="23">
        <v>157</v>
      </c>
      <c r="X3" s="23">
        <v>150.68</v>
      </c>
      <c r="Y3" s="43">
        <f>L3/I3*100</f>
        <v>1.0255454036919636</v>
      </c>
      <c r="Z3" s="43">
        <f>IFERROR(SUM(J3:P3)," ")</f>
        <v>5.3600000000000012</v>
      </c>
    </row>
    <row r="4" spans="2:26" x14ac:dyDescent="0.3">
      <c r="B4" s="22">
        <v>2</v>
      </c>
      <c r="C4" s="22"/>
      <c r="D4" s="22" t="s">
        <v>26</v>
      </c>
      <c r="E4" s="23">
        <v>168</v>
      </c>
      <c r="F4" s="23">
        <v>126.59</v>
      </c>
      <c r="G4" s="23">
        <v>0</v>
      </c>
      <c r="H4" s="23">
        <v>0</v>
      </c>
      <c r="I4" s="23">
        <v>41.41</v>
      </c>
      <c r="J4" s="23">
        <v>0</v>
      </c>
      <c r="K4" s="23">
        <v>0</v>
      </c>
      <c r="L4" s="23">
        <v>0</v>
      </c>
      <c r="M4" s="23">
        <v>0</v>
      </c>
      <c r="N4" s="23">
        <v>6.9989999999999997E-2</v>
      </c>
      <c r="O4" s="24">
        <v>0.14000000000000001</v>
      </c>
      <c r="P4" s="23">
        <v>0</v>
      </c>
      <c r="Q4" s="24">
        <v>41.19</v>
      </c>
      <c r="R4" s="23">
        <v>24.64</v>
      </c>
      <c r="S4" s="23">
        <v>99.49</v>
      </c>
      <c r="T4" s="24">
        <v>98.16</v>
      </c>
      <c r="U4" s="23">
        <v>24.07</v>
      </c>
      <c r="V4" s="23">
        <v>97.67</v>
      </c>
      <c r="W4" s="23">
        <v>101</v>
      </c>
      <c r="X4" s="23">
        <v>99.14</v>
      </c>
      <c r="Y4" s="43">
        <f t="shared" ref="Y4:Y6" si="0">L4/I4*100</f>
        <v>0</v>
      </c>
      <c r="Z4" s="43">
        <f t="shared" ref="Z4:Z6" si="1">IFERROR(SUM(J4:P4)," ")</f>
        <v>0.20999000000000001</v>
      </c>
    </row>
    <row r="5" spans="2:26" x14ac:dyDescent="0.3">
      <c r="B5" s="22">
        <v>3</v>
      </c>
      <c r="C5" s="22"/>
      <c r="D5" s="22" t="s">
        <v>27</v>
      </c>
      <c r="E5" s="23">
        <v>168</v>
      </c>
      <c r="F5" s="23">
        <v>84.68</v>
      </c>
      <c r="G5" s="23">
        <v>0</v>
      </c>
      <c r="H5" s="23">
        <v>0</v>
      </c>
      <c r="I5" s="23">
        <v>83.32</v>
      </c>
      <c r="J5" s="23">
        <v>0</v>
      </c>
      <c r="K5" s="23">
        <v>0.06</v>
      </c>
      <c r="L5" s="23">
        <v>0</v>
      </c>
      <c r="M5" s="23">
        <v>0.18</v>
      </c>
      <c r="N5" s="23">
        <v>0.28999999999999998</v>
      </c>
      <c r="O5" s="24">
        <v>0.08</v>
      </c>
      <c r="P5" s="23">
        <v>0</v>
      </c>
      <c r="Q5" s="24">
        <v>82.7</v>
      </c>
      <c r="R5" s="23">
        <v>49.59</v>
      </c>
      <c r="S5" s="23">
        <v>99.26</v>
      </c>
      <c r="T5" s="24">
        <v>97.58</v>
      </c>
      <c r="U5" s="23">
        <v>48.04</v>
      </c>
      <c r="V5" s="23">
        <v>96.86</v>
      </c>
      <c r="W5" s="23">
        <v>194</v>
      </c>
      <c r="X5" s="23">
        <v>189.31</v>
      </c>
      <c r="Y5" s="43">
        <f t="shared" si="0"/>
        <v>0</v>
      </c>
      <c r="Z5" s="43">
        <f t="shared" si="1"/>
        <v>0.61</v>
      </c>
    </row>
    <row r="6" spans="2:26" x14ac:dyDescent="0.3">
      <c r="B6" s="22"/>
      <c r="C6" s="22"/>
      <c r="D6" s="22" t="s">
        <v>28</v>
      </c>
      <c r="E6" s="23">
        <v>504</v>
      </c>
      <c r="F6" s="23">
        <v>315.52999999999997</v>
      </c>
      <c r="G6" s="23">
        <v>10.1</v>
      </c>
      <c r="H6" s="23">
        <v>0</v>
      </c>
      <c r="I6" s="23">
        <v>178.36</v>
      </c>
      <c r="J6" s="23">
        <v>1.54</v>
      </c>
      <c r="K6" s="23">
        <v>0.66</v>
      </c>
      <c r="L6" s="23">
        <v>0.55000000000000004</v>
      </c>
      <c r="M6" s="23">
        <v>0.97</v>
      </c>
      <c r="N6" s="23">
        <v>1.92</v>
      </c>
      <c r="O6" s="24">
        <v>0.54</v>
      </c>
      <c r="P6" s="23">
        <v>0</v>
      </c>
      <c r="Q6" s="24">
        <v>172.18</v>
      </c>
      <c r="R6" s="23">
        <v>35.380000000000003</v>
      </c>
      <c r="S6" s="23">
        <v>96.53</v>
      </c>
      <c r="T6" s="24">
        <v>97.15</v>
      </c>
      <c r="U6" s="23">
        <v>33.19</v>
      </c>
      <c r="V6" s="23">
        <v>93.78</v>
      </c>
      <c r="W6" s="23">
        <v>452</v>
      </c>
      <c r="X6" s="23">
        <v>439.14</v>
      </c>
      <c r="Y6" s="43">
        <f t="shared" si="0"/>
        <v>0.30836510428347164</v>
      </c>
      <c r="Z6" s="43">
        <f t="shared" si="1"/>
        <v>6.18</v>
      </c>
    </row>
  </sheetData>
  <pageMargins left="0.7" right="0.7" top="0.75" bottom="0.75" header="0.3" footer="0.3"/>
  <pageSetup orientation="portrait" r:id="rId1"/>
  <ignoredErrors>
    <ignoredError sqref="E2:X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C5BE-1D7E-46FA-B280-5091315C2E22}">
  <sheetPr>
    <tabColor rgb="FFFFC000"/>
  </sheetPr>
  <dimension ref="B1:AC57"/>
  <sheetViews>
    <sheetView showGridLines="0" topLeftCell="K22" zoomScale="90" zoomScaleNormal="90" workbookViewId="0">
      <selection activeCell="P56" sqref="P56"/>
    </sheetView>
  </sheetViews>
  <sheetFormatPr baseColWidth="10" defaultColWidth="10.625" defaultRowHeight="12.75" x14ac:dyDescent="0.2"/>
  <cols>
    <col min="1" max="1" width="5.625" style="1" customWidth="1"/>
    <col min="2" max="2" width="12.5" style="2" bestFit="1" customWidth="1"/>
    <col min="3" max="3" width="7.375" style="2" bestFit="1" customWidth="1"/>
    <col min="4" max="4" width="34.875" style="2" bestFit="1" customWidth="1"/>
    <col min="5" max="5" width="5.125" style="2" bestFit="1" customWidth="1"/>
    <col min="6" max="6" width="10.625" style="2" bestFit="1" customWidth="1"/>
    <col min="7" max="7" width="35.375" style="2" bestFit="1" customWidth="1"/>
    <col min="8" max="8" width="14.125" style="2" bestFit="1" customWidth="1"/>
    <col min="9" max="9" width="10.625" style="2" bestFit="1" customWidth="1"/>
    <col min="10" max="10" width="11" style="2" bestFit="1" customWidth="1"/>
    <col min="11" max="11" width="7.625" style="2" bestFit="1" customWidth="1"/>
    <col min="12" max="12" width="12.75" style="2" bestFit="1" customWidth="1"/>
    <col min="13" max="13" width="15" style="2" bestFit="1" customWidth="1"/>
    <col min="14" max="14" width="17" style="2" bestFit="1" customWidth="1"/>
    <col min="15" max="15" width="10.75" style="2" bestFit="1" customWidth="1"/>
    <col min="16" max="16" width="15.875" style="2" customWidth="1"/>
    <col min="17" max="17" width="9.5" style="2" bestFit="1" customWidth="1"/>
    <col min="18" max="18" width="11.5" style="2" bestFit="1" customWidth="1"/>
    <col min="19" max="19" width="11.875" style="2" bestFit="1" customWidth="1"/>
    <col min="20" max="20" width="10.625" style="2" bestFit="1" customWidth="1"/>
    <col min="21" max="21" width="10.375" style="2" bestFit="1" customWidth="1"/>
    <col min="22" max="22" width="16.125" style="2" customWidth="1"/>
    <col min="23" max="23" width="12.75" style="2" customWidth="1"/>
    <col min="24" max="24" width="12.375" style="2" customWidth="1"/>
    <col min="25" max="25" width="9.75" style="2" customWidth="1"/>
    <col min="26" max="26" width="11.25" style="2" bestFit="1" customWidth="1"/>
    <col min="27" max="27" width="10.625" style="2"/>
    <col min="28" max="16384" width="10.625" style="1"/>
  </cols>
  <sheetData>
    <row r="1" spans="2:29" ht="114.95" customHeight="1" x14ac:dyDescent="0.2">
      <c r="M1" s="116" t="s">
        <v>29</v>
      </c>
      <c r="N1" s="117"/>
      <c r="O1" s="118" t="s">
        <v>30</v>
      </c>
      <c r="P1" s="119"/>
      <c r="Q1" s="116" t="s">
        <v>31</v>
      </c>
      <c r="R1" s="117"/>
      <c r="S1" s="116" t="s">
        <v>32</v>
      </c>
      <c r="T1" s="117"/>
      <c r="U1" s="116" t="s">
        <v>33</v>
      </c>
      <c r="V1" s="117"/>
      <c r="W1" s="116" t="s">
        <v>34</v>
      </c>
      <c r="X1" s="117"/>
    </row>
    <row r="2" spans="2:29" ht="38.1" customHeight="1" x14ac:dyDescent="0.2">
      <c r="B2" s="5" t="s">
        <v>35</v>
      </c>
      <c r="C2" s="4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4" t="s">
        <v>41</v>
      </c>
      <c r="I2" s="4" t="s">
        <v>42</v>
      </c>
      <c r="J2" s="4" t="s">
        <v>43</v>
      </c>
      <c r="K2" s="4" t="s">
        <v>44</v>
      </c>
      <c r="L2" s="4" t="s">
        <v>45</v>
      </c>
      <c r="M2" s="4" t="s">
        <v>46</v>
      </c>
      <c r="N2" s="4" t="s">
        <v>47</v>
      </c>
      <c r="O2" s="5" t="s">
        <v>48</v>
      </c>
      <c r="P2" s="4" t="s">
        <v>49</v>
      </c>
      <c r="Q2" s="4" t="s">
        <v>50</v>
      </c>
      <c r="R2" s="4" t="s">
        <v>51</v>
      </c>
      <c r="S2" s="5" t="s">
        <v>52</v>
      </c>
      <c r="T2" s="5" t="s">
        <v>53</v>
      </c>
      <c r="U2" s="4" t="s">
        <v>54</v>
      </c>
      <c r="V2" s="4" t="s">
        <v>55</v>
      </c>
      <c r="W2" s="4" t="s">
        <v>56</v>
      </c>
      <c r="X2" s="9" t="s">
        <v>57</v>
      </c>
      <c r="Y2" s="4"/>
      <c r="Z2" s="4"/>
      <c r="AA2" s="7" t="s">
        <v>58</v>
      </c>
      <c r="AB2" s="7" t="s">
        <v>59</v>
      </c>
      <c r="AC2" s="7" t="s">
        <v>60</v>
      </c>
    </row>
    <row r="3" spans="2:29" x14ac:dyDescent="0.2">
      <c r="B3" s="3" t="s">
        <v>61</v>
      </c>
      <c r="C3" s="3" t="s">
        <v>62</v>
      </c>
      <c r="D3" s="3" t="s">
        <v>63</v>
      </c>
      <c r="E3" s="3" t="s">
        <v>64</v>
      </c>
      <c r="F3" s="3" t="s">
        <v>65</v>
      </c>
      <c r="G3" s="3" t="s">
        <v>66</v>
      </c>
      <c r="H3" s="3" t="s">
        <v>67</v>
      </c>
      <c r="I3" s="3">
        <v>124524</v>
      </c>
      <c r="J3" s="3">
        <v>20754</v>
      </c>
      <c r="K3" s="3">
        <v>0.41699999999999998</v>
      </c>
      <c r="L3" s="3">
        <v>8.6544100000000004</v>
      </c>
      <c r="M3" s="3">
        <v>91.5</v>
      </c>
      <c r="N3" s="3">
        <v>1.042</v>
      </c>
      <c r="O3" s="3">
        <v>35</v>
      </c>
      <c r="P3" s="3">
        <v>0.39850000000000002</v>
      </c>
      <c r="Q3" s="3">
        <v>126.5</v>
      </c>
      <c r="R3" s="3">
        <v>1.4406000000000001</v>
      </c>
      <c r="S3" s="3">
        <v>50.5</v>
      </c>
      <c r="T3" s="3">
        <v>0.57509999999999994</v>
      </c>
      <c r="U3" s="3">
        <v>76</v>
      </c>
      <c r="V3" s="3">
        <v>0.87050000000000005</v>
      </c>
      <c r="W3" s="3">
        <v>50.5</v>
      </c>
      <c r="X3" s="3">
        <v>0.57509999999999994</v>
      </c>
      <c r="Y3" s="3"/>
      <c r="Z3" s="3"/>
      <c r="AA3" s="2" t="e">
        <f>IF(AC3=1,(I3*AC3),(I3*AC3))</f>
        <v>#N/A</v>
      </c>
      <c r="AB3" s="1" t="e">
        <v>#N/A</v>
      </c>
      <c r="AC3" s="1" t="e">
        <v>#N/A</v>
      </c>
    </row>
    <row r="4" spans="2:29" x14ac:dyDescent="0.2">
      <c r="B4" s="3" t="s">
        <v>61</v>
      </c>
      <c r="C4" s="3" t="s">
        <v>68</v>
      </c>
      <c r="D4" s="3" t="s">
        <v>69</v>
      </c>
      <c r="E4" s="3" t="s">
        <v>64</v>
      </c>
      <c r="F4" s="3" t="s">
        <v>70</v>
      </c>
      <c r="G4" s="3" t="s">
        <v>71</v>
      </c>
      <c r="H4" s="3" t="s">
        <v>72</v>
      </c>
      <c r="I4" s="3">
        <v>21336</v>
      </c>
      <c r="J4" s="3">
        <v>21336</v>
      </c>
      <c r="K4" s="3">
        <v>0.65600000000000003</v>
      </c>
      <c r="L4" s="3">
        <v>13.996409999999999</v>
      </c>
      <c r="M4" s="3">
        <v>60.36</v>
      </c>
      <c r="N4" s="3">
        <v>0.42920000000000003</v>
      </c>
      <c r="O4" s="3">
        <v>7</v>
      </c>
      <c r="P4" s="3">
        <v>4.9700000000000001E-2</v>
      </c>
      <c r="Q4" s="3">
        <v>67.36</v>
      </c>
      <c r="R4" s="3">
        <v>0.47889999999999999</v>
      </c>
      <c r="S4" s="3">
        <v>13.5</v>
      </c>
      <c r="T4" s="3">
        <v>9.5899999999999999E-2</v>
      </c>
      <c r="U4" s="3">
        <v>25</v>
      </c>
      <c r="V4" s="3">
        <v>0.1782</v>
      </c>
      <c r="W4" s="3">
        <v>42.36</v>
      </c>
      <c r="X4" s="3">
        <v>0.30120000000000002</v>
      </c>
      <c r="Y4" s="3"/>
      <c r="Z4" s="3"/>
      <c r="AA4" s="2" t="e">
        <f t="shared" ref="AA4:AA55" si="0">IF(AC4=1,(I4*AC4),(I4*AC4))</f>
        <v>#N/A</v>
      </c>
      <c r="AB4" s="1" t="e">
        <v>#N/A</v>
      </c>
      <c r="AC4" s="1" t="e">
        <v>#N/A</v>
      </c>
    </row>
    <row r="5" spans="2:29" x14ac:dyDescent="0.2">
      <c r="B5" s="3" t="s">
        <v>61</v>
      </c>
      <c r="C5" s="3" t="s">
        <v>73</v>
      </c>
      <c r="D5" s="3" t="s">
        <v>74</v>
      </c>
      <c r="E5" s="3" t="s">
        <v>64</v>
      </c>
      <c r="F5" s="3" t="s">
        <v>75</v>
      </c>
      <c r="G5" s="3" t="s">
        <v>76</v>
      </c>
      <c r="H5" s="3" t="s">
        <v>64</v>
      </c>
      <c r="I5" s="3">
        <v>10049</v>
      </c>
      <c r="J5" s="3">
        <v>10049</v>
      </c>
      <c r="K5" s="3">
        <v>0.51800000000000002</v>
      </c>
      <c r="L5" s="3">
        <v>5.2053799999999999</v>
      </c>
      <c r="M5" s="3">
        <v>16</v>
      </c>
      <c r="N5" s="3">
        <v>0.29920000000000002</v>
      </c>
      <c r="O5" s="3">
        <v>125</v>
      </c>
      <c r="P5" s="3">
        <v>2.3380000000000001</v>
      </c>
      <c r="Q5" s="3">
        <v>141</v>
      </c>
      <c r="R5" s="3">
        <v>2.6372</v>
      </c>
      <c r="S5" s="3">
        <v>0</v>
      </c>
      <c r="T5" s="3">
        <v>0</v>
      </c>
      <c r="U5" s="3">
        <v>141</v>
      </c>
      <c r="V5" s="3">
        <v>2.6372</v>
      </c>
      <c r="W5" s="3">
        <v>0</v>
      </c>
      <c r="X5" s="3">
        <v>0</v>
      </c>
      <c r="Y5" s="3"/>
      <c r="Z5" s="3"/>
      <c r="AA5" s="2" t="e">
        <f t="shared" si="0"/>
        <v>#N/A</v>
      </c>
      <c r="AB5" s="1" t="e">
        <v>#N/A</v>
      </c>
      <c r="AC5" s="1" t="e">
        <v>#N/A</v>
      </c>
    </row>
    <row r="6" spans="2:29" x14ac:dyDescent="0.2">
      <c r="B6" s="3" t="s">
        <v>61</v>
      </c>
      <c r="C6" s="3" t="s">
        <v>77</v>
      </c>
      <c r="D6" s="3" t="s">
        <v>78</v>
      </c>
      <c r="E6" s="3" t="s">
        <v>64</v>
      </c>
      <c r="F6" s="3" t="s">
        <v>64</v>
      </c>
      <c r="G6" s="3" t="s">
        <v>64</v>
      </c>
      <c r="H6" s="3" t="s">
        <v>64</v>
      </c>
      <c r="I6" s="3">
        <v>1824</v>
      </c>
      <c r="J6" s="3">
        <v>152</v>
      </c>
      <c r="K6" s="3">
        <v>0.83399999999999996</v>
      </c>
      <c r="L6" s="3">
        <v>0.12676000000000001</v>
      </c>
      <c r="M6" s="3" t="s">
        <v>64</v>
      </c>
      <c r="N6" s="3" t="s">
        <v>64</v>
      </c>
      <c r="O6" s="3" t="s">
        <v>64</v>
      </c>
      <c r="P6" s="3" t="s">
        <v>64</v>
      </c>
      <c r="Q6" s="3" t="s">
        <v>64</v>
      </c>
      <c r="R6" s="3" t="s">
        <v>64</v>
      </c>
      <c r="S6" s="3" t="s">
        <v>64</v>
      </c>
      <c r="T6" s="3" t="s">
        <v>64</v>
      </c>
      <c r="U6" s="3" t="s">
        <v>64</v>
      </c>
      <c r="V6" s="3" t="s">
        <v>64</v>
      </c>
      <c r="W6" s="3" t="s">
        <v>64</v>
      </c>
      <c r="X6" s="3" t="s">
        <v>64</v>
      </c>
      <c r="Y6" s="3"/>
      <c r="Z6" s="3"/>
      <c r="AA6" s="2" t="e">
        <f t="shared" si="0"/>
        <v>#N/A</v>
      </c>
      <c r="AB6" s="1" t="e">
        <v>#N/A</v>
      </c>
      <c r="AC6" s="1" t="e">
        <v>#N/A</v>
      </c>
    </row>
    <row r="7" spans="2:29" x14ac:dyDescent="0.2">
      <c r="B7" s="3" t="s">
        <v>61</v>
      </c>
      <c r="C7" s="3" t="s">
        <v>79</v>
      </c>
      <c r="D7" s="3" t="s">
        <v>80</v>
      </c>
      <c r="E7" s="3" t="s">
        <v>64</v>
      </c>
      <c r="F7" s="3" t="s">
        <v>64</v>
      </c>
      <c r="G7" s="3" t="s">
        <v>64</v>
      </c>
      <c r="H7" s="3" t="s">
        <v>64</v>
      </c>
      <c r="I7" s="3">
        <v>756</v>
      </c>
      <c r="J7" s="3">
        <v>378</v>
      </c>
      <c r="K7" s="3">
        <v>1.3120000000000001</v>
      </c>
      <c r="L7" s="3">
        <v>0.49592999999999998</v>
      </c>
      <c r="M7" s="3" t="s">
        <v>64</v>
      </c>
      <c r="N7" s="3" t="s">
        <v>64</v>
      </c>
      <c r="O7" s="3" t="s">
        <v>64</v>
      </c>
      <c r="P7" s="3" t="s">
        <v>64</v>
      </c>
      <c r="Q7" s="3" t="s">
        <v>64</v>
      </c>
      <c r="R7" s="3" t="s">
        <v>64</v>
      </c>
      <c r="S7" s="3" t="s">
        <v>64</v>
      </c>
      <c r="T7" s="3" t="s">
        <v>64</v>
      </c>
      <c r="U7" s="3" t="s">
        <v>64</v>
      </c>
      <c r="V7" s="3" t="s">
        <v>64</v>
      </c>
      <c r="W7" s="3" t="s">
        <v>64</v>
      </c>
      <c r="X7" s="3" t="s">
        <v>64</v>
      </c>
      <c r="Y7" s="3"/>
      <c r="Z7" s="3"/>
      <c r="AA7" s="2" t="e">
        <f t="shared" si="0"/>
        <v>#N/A</v>
      </c>
      <c r="AB7" s="1" t="e">
        <v>#N/A</v>
      </c>
      <c r="AC7" s="1" t="e">
        <v>#N/A</v>
      </c>
    </row>
    <row r="8" spans="2:29" x14ac:dyDescent="0.2">
      <c r="B8" s="3" t="s">
        <v>61</v>
      </c>
      <c r="C8" s="3" t="s">
        <v>81</v>
      </c>
      <c r="D8" s="3" t="s">
        <v>82</v>
      </c>
      <c r="E8" s="3" t="s">
        <v>64</v>
      </c>
      <c r="F8" s="3" t="s">
        <v>83</v>
      </c>
      <c r="G8" s="3" t="s">
        <v>84</v>
      </c>
      <c r="H8" s="3" t="s">
        <v>85</v>
      </c>
      <c r="I8" s="3">
        <v>26537</v>
      </c>
      <c r="J8" s="3">
        <v>26537</v>
      </c>
      <c r="K8" s="3">
        <v>0.5625</v>
      </c>
      <c r="L8" s="3">
        <v>14.927060000000001</v>
      </c>
      <c r="M8" s="3">
        <v>573.37</v>
      </c>
      <c r="N8" s="3">
        <v>3.6042999999999998</v>
      </c>
      <c r="O8" s="3">
        <v>407.5</v>
      </c>
      <c r="P8" s="3">
        <v>2.5615999999999999</v>
      </c>
      <c r="Q8" s="3">
        <v>980.87</v>
      </c>
      <c r="R8" s="3">
        <v>6.1658999999999997</v>
      </c>
      <c r="S8" s="3">
        <v>147</v>
      </c>
      <c r="T8" s="3">
        <v>0.92400000000000004</v>
      </c>
      <c r="U8" s="3">
        <v>569.5</v>
      </c>
      <c r="V8" s="3">
        <v>3.6749999999999998</v>
      </c>
      <c r="W8" s="3">
        <v>411.37</v>
      </c>
      <c r="X8" s="3">
        <v>2.5859000000000001</v>
      </c>
      <c r="Y8" s="3"/>
      <c r="Z8" s="3"/>
      <c r="AA8" s="2" t="e">
        <f t="shared" si="0"/>
        <v>#N/A</v>
      </c>
      <c r="AB8" s="1" t="e">
        <v>#N/A</v>
      </c>
      <c r="AC8" s="1" t="e">
        <v>#N/A</v>
      </c>
    </row>
    <row r="9" spans="2:29" x14ac:dyDescent="0.2">
      <c r="B9" s="3" t="s">
        <v>61</v>
      </c>
      <c r="C9" s="3" t="s">
        <v>86</v>
      </c>
      <c r="D9" s="3" t="s">
        <v>87</v>
      </c>
      <c r="E9" s="3" t="s">
        <v>64</v>
      </c>
      <c r="F9" s="3" t="s">
        <v>88</v>
      </c>
      <c r="G9" s="3" t="s">
        <v>89</v>
      </c>
      <c r="H9" s="3" t="s">
        <v>90</v>
      </c>
      <c r="I9" s="3">
        <v>31675</v>
      </c>
      <c r="J9" s="3">
        <v>31675</v>
      </c>
      <c r="K9" s="3">
        <v>0.5625</v>
      </c>
      <c r="L9" s="3">
        <v>17.81718</v>
      </c>
      <c r="M9" s="3">
        <v>723.06</v>
      </c>
      <c r="N9" s="3">
        <v>3.7728000000000002</v>
      </c>
      <c r="O9" s="3">
        <v>624.5</v>
      </c>
      <c r="P9" s="3">
        <v>3.2585000000000002</v>
      </c>
      <c r="Q9" s="3">
        <v>1347.56</v>
      </c>
      <c r="R9" s="3">
        <v>7.0313999999999997</v>
      </c>
      <c r="S9" s="3">
        <v>163</v>
      </c>
      <c r="T9" s="3">
        <v>0.85050000000000003</v>
      </c>
      <c r="U9" s="3">
        <v>756.5</v>
      </c>
      <c r="V9" s="3">
        <v>4.0728999999999997</v>
      </c>
      <c r="W9" s="3">
        <v>591.05999999999995</v>
      </c>
      <c r="X9" s="3">
        <v>3.0840999999999998</v>
      </c>
      <c r="Y9" s="3"/>
      <c r="Z9" s="3"/>
      <c r="AA9" s="2" t="e">
        <f t="shared" si="0"/>
        <v>#N/A</v>
      </c>
      <c r="AB9" s="1" t="e">
        <v>#N/A</v>
      </c>
      <c r="AC9" s="1" t="e">
        <v>#N/A</v>
      </c>
    </row>
    <row r="10" spans="2:29" x14ac:dyDescent="0.2">
      <c r="B10" s="3" t="s">
        <v>61</v>
      </c>
      <c r="C10" s="3" t="s">
        <v>91</v>
      </c>
      <c r="D10" s="3" t="s">
        <v>92</v>
      </c>
      <c r="E10" s="3" t="s">
        <v>64</v>
      </c>
      <c r="F10" s="3" t="s">
        <v>64</v>
      </c>
      <c r="G10" s="3" t="s">
        <v>64</v>
      </c>
      <c r="H10" s="3" t="s">
        <v>64</v>
      </c>
      <c r="I10" s="3">
        <v>700</v>
      </c>
      <c r="J10" s="3">
        <v>350</v>
      </c>
      <c r="K10" s="3">
        <v>1.036</v>
      </c>
      <c r="L10" s="3">
        <v>0.36259999999999998</v>
      </c>
      <c r="M10" s="3" t="s">
        <v>64</v>
      </c>
      <c r="N10" s="3" t="s">
        <v>64</v>
      </c>
      <c r="O10" s="3" t="s">
        <v>64</v>
      </c>
      <c r="P10" s="3" t="s">
        <v>64</v>
      </c>
      <c r="Q10" s="3" t="s">
        <v>64</v>
      </c>
      <c r="R10" s="3" t="s">
        <v>64</v>
      </c>
      <c r="S10" s="3" t="s">
        <v>64</v>
      </c>
      <c r="T10" s="3" t="s">
        <v>64</v>
      </c>
      <c r="U10" s="3" t="s">
        <v>64</v>
      </c>
      <c r="V10" s="3" t="s">
        <v>64</v>
      </c>
      <c r="W10" s="3" t="s">
        <v>64</v>
      </c>
      <c r="X10" s="3" t="s">
        <v>64</v>
      </c>
      <c r="Y10" s="3"/>
      <c r="Z10" s="3"/>
      <c r="AA10" s="2" t="e">
        <f t="shared" si="0"/>
        <v>#N/A</v>
      </c>
      <c r="AB10" s="1" t="e">
        <v>#N/A</v>
      </c>
      <c r="AC10" s="1" t="e">
        <v>#N/A</v>
      </c>
    </row>
    <row r="11" spans="2:29" x14ac:dyDescent="0.2">
      <c r="B11" s="3" t="s">
        <v>61</v>
      </c>
      <c r="C11" s="3" t="s">
        <v>93</v>
      </c>
      <c r="D11" s="3" t="s">
        <v>94</v>
      </c>
      <c r="E11" s="3" t="s">
        <v>64</v>
      </c>
      <c r="F11" s="3" t="s">
        <v>95</v>
      </c>
      <c r="G11" s="3" t="s">
        <v>96</v>
      </c>
      <c r="H11" s="3" t="s">
        <v>64</v>
      </c>
      <c r="I11" s="3">
        <v>14288</v>
      </c>
      <c r="J11" s="3">
        <v>14288</v>
      </c>
      <c r="K11" s="3">
        <v>0.61080000000000001</v>
      </c>
      <c r="L11" s="3">
        <v>8.7271099999999997</v>
      </c>
      <c r="M11" s="3">
        <v>232.44</v>
      </c>
      <c r="N11" s="3">
        <v>2.5613999999999999</v>
      </c>
      <c r="O11" s="3">
        <v>115</v>
      </c>
      <c r="P11" s="3">
        <v>1.2672000000000001</v>
      </c>
      <c r="Q11" s="3">
        <v>347.44</v>
      </c>
      <c r="R11" s="3">
        <v>3.8287</v>
      </c>
      <c r="S11" s="3">
        <v>97.5</v>
      </c>
      <c r="T11" s="3">
        <v>1.0744</v>
      </c>
      <c r="U11" s="3">
        <v>140</v>
      </c>
      <c r="V11" s="3">
        <v>1.5788</v>
      </c>
      <c r="W11" s="3">
        <v>207.44</v>
      </c>
      <c r="X11" s="3">
        <v>2.2858999999999998</v>
      </c>
      <c r="Y11" s="3"/>
      <c r="Z11" s="3"/>
      <c r="AA11" s="2" t="e">
        <f t="shared" si="0"/>
        <v>#N/A</v>
      </c>
      <c r="AB11" s="1" t="e">
        <v>#N/A</v>
      </c>
      <c r="AC11" s="1" t="e">
        <v>#N/A</v>
      </c>
    </row>
    <row r="12" spans="2:29" x14ac:dyDescent="0.2">
      <c r="B12" s="3" t="s">
        <v>61</v>
      </c>
      <c r="C12" s="3" t="s">
        <v>97</v>
      </c>
      <c r="D12" s="3" t="s">
        <v>98</v>
      </c>
      <c r="E12" s="3" t="s">
        <v>99</v>
      </c>
      <c r="F12" s="3" t="s">
        <v>65</v>
      </c>
      <c r="G12" s="3" t="s">
        <v>66</v>
      </c>
      <c r="H12" s="3" t="s">
        <v>100</v>
      </c>
      <c r="I12" s="3">
        <v>98280</v>
      </c>
      <c r="J12" s="3">
        <v>1365</v>
      </c>
      <c r="K12" s="3">
        <v>5.016</v>
      </c>
      <c r="L12" s="3">
        <v>6.8468400000000003</v>
      </c>
      <c r="M12" s="3">
        <v>8</v>
      </c>
      <c r="N12" s="3">
        <v>0.1167</v>
      </c>
      <c r="O12" s="3">
        <v>0</v>
      </c>
      <c r="P12" s="3">
        <v>0</v>
      </c>
      <c r="Q12" s="3">
        <v>8</v>
      </c>
      <c r="R12" s="3">
        <v>0.1167</v>
      </c>
      <c r="S12" s="3">
        <v>8</v>
      </c>
      <c r="T12" s="3">
        <v>0.1167</v>
      </c>
      <c r="U12" s="3">
        <v>0</v>
      </c>
      <c r="V12" s="3">
        <v>0</v>
      </c>
      <c r="W12" s="3">
        <v>8</v>
      </c>
      <c r="X12" s="3">
        <v>0.1167</v>
      </c>
      <c r="Y12" s="3"/>
      <c r="Z12" s="3"/>
      <c r="AA12" s="2" t="e">
        <f t="shared" si="0"/>
        <v>#N/A</v>
      </c>
      <c r="AB12" s="1" t="e">
        <v>#N/A</v>
      </c>
      <c r="AC12" s="1" t="e">
        <v>#N/A</v>
      </c>
    </row>
    <row r="13" spans="2:29" x14ac:dyDescent="0.2">
      <c r="B13" s="3" t="s">
        <v>61</v>
      </c>
      <c r="C13" s="3" t="s">
        <v>101</v>
      </c>
      <c r="D13" s="3" t="s">
        <v>102</v>
      </c>
      <c r="E13" s="3" t="s">
        <v>99</v>
      </c>
      <c r="F13" s="3" t="s">
        <v>103</v>
      </c>
      <c r="G13" s="3" t="s">
        <v>104</v>
      </c>
      <c r="H13" s="3" t="s">
        <v>64</v>
      </c>
      <c r="I13" s="3">
        <v>97344</v>
      </c>
      <c r="J13" s="3">
        <v>2028</v>
      </c>
      <c r="K13" s="3">
        <v>4.4039999999999999</v>
      </c>
      <c r="L13" s="3">
        <v>8.9313099999999999</v>
      </c>
      <c r="M13" s="3" t="s">
        <v>64</v>
      </c>
      <c r="N13" s="3" t="s">
        <v>64</v>
      </c>
      <c r="O13" s="3" t="s">
        <v>64</v>
      </c>
      <c r="P13" s="3" t="s">
        <v>64</v>
      </c>
      <c r="Q13" s="3" t="s">
        <v>64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64</v>
      </c>
      <c r="W13" s="3" t="s">
        <v>64</v>
      </c>
      <c r="X13" s="3" t="s">
        <v>64</v>
      </c>
      <c r="Y13" s="3"/>
      <c r="Z13" s="3"/>
      <c r="AA13" s="2" t="e">
        <f t="shared" si="0"/>
        <v>#N/A</v>
      </c>
      <c r="AB13" s="1" t="e">
        <v>#N/A</v>
      </c>
      <c r="AC13" s="1" t="e">
        <v>#N/A</v>
      </c>
    </row>
    <row r="14" spans="2:29" x14ac:dyDescent="0.2">
      <c r="B14" s="3" t="s">
        <v>61</v>
      </c>
      <c r="C14" s="3" t="s">
        <v>105</v>
      </c>
      <c r="D14" s="3" t="s">
        <v>106</v>
      </c>
      <c r="E14" s="3" t="s">
        <v>64</v>
      </c>
      <c r="F14" s="3" t="s">
        <v>107</v>
      </c>
      <c r="G14" s="3" t="s">
        <v>108</v>
      </c>
      <c r="H14" s="3" t="s">
        <v>109</v>
      </c>
      <c r="I14" s="3">
        <v>13716</v>
      </c>
      <c r="J14" s="3">
        <v>13716</v>
      </c>
      <c r="K14" s="3">
        <v>0.50860000000000005</v>
      </c>
      <c r="L14" s="3">
        <v>6.9759500000000001</v>
      </c>
      <c r="M14" s="3">
        <v>60.13</v>
      </c>
      <c r="N14" s="3">
        <v>0.84350000000000003</v>
      </c>
      <c r="O14" s="3">
        <v>93</v>
      </c>
      <c r="P14" s="3">
        <v>1.3045</v>
      </c>
      <c r="Q14" s="3">
        <v>153.13</v>
      </c>
      <c r="R14" s="3">
        <v>2.1480000000000001</v>
      </c>
      <c r="S14" s="3">
        <v>0</v>
      </c>
      <c r="T14" s="3">
        <v>0</v>
      </c>
      <c r="U14" s="3">
        <v>145</v>
      </c>
      <c r="V14" s="3">
        <v>2.0362</v>
      </c>
      <c r="W14" s="3">
        <v>8.1300000000000008</v>
      </c>
      <c r="X14" s="3">
        <v>0.11409999999999999</v>
      </c>
      <c r="Y14" s="3"/>
      <c r="Z14" s="3"/>
      <c r="AA14" s="2" t="e">
        <f t="shared" si="0"/>
        <v>#N/A</v>
      </c>
      <c r="AB14" s="1" t="e">
        <v>#N/A</v>
      </c>
      <c r="AC14" s="1" t="e">
        <v>#N/A</v>
      </c>
    </row>
    <row r="15" spans="2:29" x14ac:dyDescent="0.2">
      <c r="B15" s="3" t="s">
        <v>61</v>
      </c>
      <c r="C15" s="3" t="s">
        <v>110</v>
      </c>
      <c r="D15" s="3" t="s">
        <v>111</v>
      </c>
      <c r="E15" s="3" t="s">
        <v>64</v>
      </c>
      <c r="F15" s="3" t="s">
        <v>64</v>
      </c>
      <c r="G15" s="3" t="s">
        <v>64</v>
      </c>
      <c r="H15" s="3" t="s">
        <v>64</v>
      </c>
      <c r="I15" s="3">
        <v>1456</v>
      </c>
      <c r="J15" s="3">
        <v>728</v>
      </c>
      <c r="K15" s="3">
        <v>1.0169999999999999</v>
      </c>
      <c r="L15" s="3">
        <v>0.74036999999999997</v>
      </c>
      <c r="M15" s="3" t="s">
        <v>64</v>
      </c>
      <c r="N15" s="3" t="s">
        <v>64</v>
      </c>
      <c r="O15" s="3" t="s">
        <v>64</v>
      </c>
      <c r="P15" s="3" t="s">
        <v>64</v>
      </c>
      <c r="Q15" s="3" t="s">
        <v>64</v>
      </c>
      <c r="R15" s="3" t="s">
        <v>64</v>
      </c>
      <c r="S15" s="3" t="s">
        <v>64</v>
      </c>
      <c r="T15" s="3" t="s">
        <v>64</v>
      </c>
      <c r="U15" s="3" t="s">
        <v>64</v>
      </c>
      <c r="V15" s="3" t="s">
        <v>64</v>
      </c>
      <c r="W15" s="3" t="s">
        <v>64</v>
      </c>
      <c r="X15" s="3" t="s">
        <v>64</v>
      </c>
      <c r="Y15" s="3"/>
      <c r="Z15" s="3"/>
      <c r="AA15" s="2" t="e">
        <f t="shared" si="0"/>
        <v>#N/A</v>
      </c>
      <c r="AB15" s="1" t="e">
        <v>#N/A</v>
      </c>
      <c r="AC15" s="1" t="e">
        <v>#N/A</v>
      </c>
    </row>
    <row r="16" spans="2:29" x14ac:dyDescent="0.2">
      <c r="B16" s="3" t="s">
        <v>61</v>
      </c>
      <c r="C16" s="3" t="s">
        <v>112</v>
      </c>
      <c r="D16" s="3" t="s">
        <v>113</v>
      </c>
      <c r="E16" s="3" t="s">
        <v>99</v>
      </c>
      <c r="F16" s="3" t="s">
        <v>88</v>
      </c>
      <c r="G16" s="3" t="s">
        <v>89</v>
      </c>
      <c r="H16" s="3" t="s">
        <v>114</v>
      </c>
      <c r="I16" s="3">
        <v>45864</v>
      </c>
      <c r="J16" s="3">
        <v>3822</v>
      </c>
      <c r="K16" s="3">
        <v>6.75</v>
      </c>
      <c r="L16" s="3">
        <v>25.798500000000001</v>
      </c>
      <c r="M16" s="3" t="s">
        <v>64</v>
      </c>
      <c r="N16" s="3" t="s">
        <v>64</v>
      </c>
      <c r="O16" s="3" t="s">
        <v>64</v>
      </c>
      <c r="P16" s="3" t="s">
        <v>64</v>
      </c>
      <c r="Q16" s="3" t="s">
        <v>64</v>
      </c>
      <c r="R16" s="3" t="s">
        <v>64</v>
      </c>
      <c r="S16" s="3" t="s">
        <v>64</v>
      </c>
      <c r="T16" s="3" t="s">
        <v>64</v>
      </c>
      <c r="U16" s="3" t="s">
        <v>64</v>
      </c>
      <c r="V16" s="3" t="s">
        <v>64</v>
      </c>
      <c r="W16" s="3" t="s">
        <v>64</v>
      </c>
      <c r="X16" s="3" t="s">
        <v>64</v>
      </c>
      <c r="Y16" s="3"/>
      <c r="Z16" s="3"/>
      <c r="AA16" s="2" t="e">
        <f t="shared" si="0"/>
        <v>#N/A</v>
      </c>
      <c r="AB16" s="1" t="e">
        <v>#N/A</v>
      </c>
      <c r="AC16" s="1" t="e">
        <v>#N/A</v>
      </c>
    </row>
    <row r="17" spans="2:29" x14ac:dyDescent="0.2">
      <c r="B17" s="3" t="s">
        <v>61</v>
      </c>
      <c r="C17" s="3" t="s">
        <v>115</v>
      </c>
      <c r="D17" s="3" t="s">
        <v>116</v>
      </c>
      <c r="E17" s="3" t="s">
        <v>64</v>
      </c>
      <c r="F17" s="3" t="s">
        <v>83</v>
      </c>
      <c r="G17" s="3" t="s">
        <v>84</v>
      </c>
      <c r="H17" s="3" t="s">
        <v>117</v>
      </c>
      <c r="I17" s="3">
        <v>40320</v>
      </c>
      <c r="J17" s="3">
        <v>3360</v>
      </c>
      <c r="K17" s="3">
        <v>6.75</v>
      </c>
      <c r="L17" s="3">
        <v>22.68</v>
      </c>
      <c r="M17" s="3">
        <v>1.5</v>
      </c>
      <c r="N17" s="3">
        <v>6.6E-3</v>
      </c>
      <c r="O17" s="3">
        <v>0</v>
      </c>
      <c r="P17" s="3">
        <v>0</v>
      </c>
      <c r="Q17" s="3">
        <v>1.5</v>
      </c>
      <c r="R17" s="3">
        <v>6.6E-3</v>
      </c>
      <c r="S17" s="3">
        <v>0</v>
      </c>
      <c r="T17" s="3">
        <v>0</v>
      </c>
      <c r="U17" s="3">
        <v>1.5</v>
      </c>
      <c r="V17" s="3">
        <v>6.6E-3</v>
      </c>
      <c r="W17" s="3">
        <v>0</v>
      </c>
      <c r="X17" s="3">
        <v>0</v>
      </c>
      <c r="Y17" s="3"/>
      <c r="Z17" s="3"/>
      <c r="AA17" s="2" t="e">
        <f t="shared" si="0"/>
        <v>#N/A</v>
      </c>
      <c r="AB17" s="1" t="e">
        <v>#N/A</v>
      </c>
      <c r="AC17" s="1" t="e">
        <v>#N/A</v>
      </c>
    </row>
    <row r="18" spans="2:29" x14ac:dyDescent="0.2">
      <c r="B18" s="3" t="s">
        <v>61</v>
      </c>
      <c r="C18" s="3" t="s">
        <v>118</v>
      </c>
      <c r="D18" s="3" t="s">
        <v>119</v>
      </c>
      <c r="E18" s="3" t="s">
        <v>64</v>
      </c>
      <c r="F18" s="3" t="s">
        <v>120</v>
      </c>
      <c r="G18" s="3" t="s">
        <v>121</v>
      </c>
      <c r="H18" s="3" t="s">
        <v>122</v>
      </c>
      <c r="I18" s="3">
        <v>25488</v>
      </c>
      <c r="J18" s="3">
        <v>2124</v>
      </c>
      <c r="K18" s="3">
        <v>6.984</v>
      </c>
      <c r="L18" s="3">
        <v>14.834009999999999</v>
      </c>
      <c r="M18" s="3">
        <v>48</v>
      </c>
      <c r="N18" s="3">
        <v>0.32250000000000001</v>
      </c>
      <c r="O18" s="3">
        <v>0</v>
      </c>
      <c r="P18" s="3">
        <v>0</v>
      </c>
      <c r="Q18" s="3">
        <v>48</v>
      </c>
      <c r="R18" s="3">
        <v>0.32250000000000001</v>
      </c>
      <c r="S18" s="3">
        <v>19</v>
      </c>
      <c r="T18" s="3">
        <v>0.12759999999999999</v>
      </c>
      <c r="U18" s="3">
        <v>29</v>
      </c>
      <c r="V18" s="3">
        <v>0.1951</v>
      </c>
      <c r="W18" s="3">
        <v>19</v>
      </c>
      <c r="X18" s="3">
        <v>0.12759999999999999</v>
      </c>
      <c r="Y18" s="3"/>
      <c r="Z18" s="3"/>
      <c r="AA18" s="2" t="e">
        <f t="shared" si="0"/>
        <v>#N/A</v>
      </c>
      <c r="AB18" s="1" t="e">
        <v>#N/A</v>
      </c>
      <c r="AC18" s="1" t="e">
        <v>#N/A</v>
      </c>
    </row>
    <row r="19" spans="2:29" x14ac:dyDescent="0.2">
      <c r="B19" s="3" t="s">
        <v>61</v>
      </c>
      <c r="C19" s="3" t="s">
        <v>123</v>
      </c>
      <c r="D19" s="3" t="s">
        <v>124</v>
      </c>
      <c r="E19" s="3" t="s">
        <v>64</v>
      </c>
      <c r="F19" s="3" t="s">
        <v>107</v>
      </c>
      <c r="G19" s="3" t="s">
        <v>108</v>
      </c>
      <c r="H19" s="3" t="s">
        <v>125</v>
      </c>
      <c r="I19" s="3">
        <v>23512</v>
      </c>
      <c r="J19" s="3">
        <v>2939</v>
      </c>
      <c r="K19" s="3">
        <v>4.0688000000000004</v>
      </c>
      <c r="L19" s="3">
        <v>11.9582</v>
      </c>
      <c r="M19" s="3" t="s">
        <v>64</v>
      </c>
      <c r="N19" s="3" t="s">
        <v>64</v>
      </c>
      <c r="O19" s="3" t="s">
        <v>64</v>
      </c>
      <c r="P19" s="3" t="s">
        <v>64</v>
      </c>
      <c r="Q19" s="3" t="s">
        <v>64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64</v>
      </c>
      <c r="W19" s="3" t="s">
        <v>64</v>
      </c>
      <c r="X19" s="3" t="s">
        <v>64</v>
      </c>
      <c r="Y19" s="3"/>
      <c r="Z19" s="3"/>
      <c r="AA19" s="2" t="e">
        <f t="shared" si="0"/>
        <v>#N/A</v>
      </c>
      <c r="AB19" s="1" t="e">
        <v>#N/A</v>
      </c>
      <c r="AC19" s="1" t="e">
        <v>#N/A</v>
      </c>
    </row>
    <row r="20" spans="2:29" x14ac:dyDescent="0.2">
      <c r="B20" s="3" t="s">
        <v>61</v>
      </c>
      <c r="C20" s="3" t="s">
        <v>126</v>
      </c>
      <c r="D20" s="3" t="s">
        <v>127</v>
      </c>
      <c r="E20" s="3" t="s">
        <v>64</v>
      </c>
      <c r="F20" s="3" t="s">
        <v>64</v>
      </c>
      <c r="G20" s="3" t="s">
        <v>64</v>
      </c>
      <c r="H20" s="3" t="s">
        <v>64</v>
      </c>
      <c r="I20" s="3">
        <v>8288</v>
      </c>
      <c r="J20" s="3">
        <v>1036</v>
      </c>
      <c r="K20" s="3">
        <v>4.1440000000000001</v>
      </c>
      <c r="L20" s="3">
        <v>4.2931800000000004</v>
      </c>
      <c r="M20" s="3" t="s">
        <v>64</v>
      </c>
      <c r="N20" s="3" t="s">
        <v>64</v>
      </c>
      <c r="O20" s="3" t="s">
        <v>64</v>
      </c>
      <c r="P20" s="3" t="s">
        <v>64</v>
      </c>
      <c r="Q20" s="3" t="s">
        <v>64</v>
      </c>
      <c r="R20" s="3" t="s">
        <v>64</v>
      </c>
      <c r="S20" s="3" t="s">
        <v>64</v>
      </c>
      <c r="T20" s="3" t="s">
        <v>64</v>
      </c>
      <c r="U20" s="3" t="s">
        <v>64</v>
      </c>
      <c r="V20" s="3" t="s">
        <v>64</v>
      </c>
      <c r="W20" s="3" t="s">
        <v>64</v>
      </c>
      <c r="X20" s="3" t="s">
        <v>64</v>
      </c>
      <c r="Y20" s="3"/>
      <c r="Z20" s="3"/>
      <c r="AA20" s="2" t="e">
        <f t="shared" si="0"/>
        <v>#N/A</v>
      </c>
      <c r="AB20" s="1" t="e">
        <v>#N/A</v>
      </c>
      <c r="AC20" s="1" t="e">
        <v>#N/A</v>
      </c>
    </row>
    <row r="21" spans="2:29" x14ac:dyDescent="0.2">
      <c r="B21" s="3" t="s">
        <v>61</v>
      </c>
      <c r="C21" s="3" t="s">
        <v>128</v>
      </c>
      <c r="D21" s="3" t="s">
        <v>129</v>
      </c>
      <c r="E21" s="3" t="s">
        <v>130</v>
      </c>
      <c r="F21" s="3" t="s">
        <v>95</v>
      </c>
      <c r="G21" s="3" t="s">
        <v>96</v>
      </c>
      <c r="H21" s="3" t="s">
        <v>64</v>
      </c>
      <c r="I21" s="3">
        <v>17850</v>
      </c>
      <c r="J21" s="3">
        <v>1785</v>
      </c>
      <c r="K21" s="3">
        <v>6.1079999999999997</v>
      </c>
      <c r="L21" s="3">
        <v>10.90278</v>
      </c>
      <c r="M21" s="3" t="s">
        <v>64</v>
      </c>
      <c r="N21" s="3" t="s">
        <v>64</v>
      </c>
      <c r="O21" s="3" t="s">
        <v>64</v>
      </c>
      <c r="P21" s="3" t="s">
        <v>64</v>
      </c>
      <c r="Q21" s="3" t="s">
        <v>64</v>
      </c>
      <c r="R21" s="3" t="s">
        <v>64</v>
      </c>
      <c r="S21" s="3" t="s">
        <v>64</v>
      </c>
      <c r="T21" s="3" t="s">
        <v>64</v>
      </c>
      <c r="U21" s="3" t="s">
        <v>64</v>
      </c>
      <c r="V21" s="3" t="s">
        <v>64</v>
      </c>
      <c r="W21" s="3" t="s">
        <v>64</v>
      </c>
      <c r="X21" s="3" t="s">
        <v>64</v>
      </c>
      <c r="Y21" s="3"/>
      <c r="Z21" s="3"/>
      <c r="AA21" s="2" t="e">
        <f t="shared" si="0"/>
        <v>#N/A</v>
      </c>
      <c r="AB21" s="1" t="e">
        <v>#N/A</v>
      </c>
      <c r="AC21" s="1" t="e">
        <v>#N/A</v>
      </c>
    </row>
    <row r="22" spans="2:29" x14ac:dyDescent="0.2">
      <c r="B22" s="3" t="s">
        <v>61</v>
      </c>
      <c r="C22" s="3" t="s">
        <v>131</v>
      </c>
      <c r="D22" s="3" t="s">
        <v>132</v>
      </c>
      <c r="E22" s="3" t="s">
        <v>64</v>
      </c>
      <c r="F22" s="3" t="s">
        <v>133</v>
      </c>
      <c r="G22" s="3" t="s">
        <v>134</v>
      </c>
      <c r="H22" s="3" t="s">
        <v>64</v>
      </c>
      <c r="I22" s="3">
        <v>18640</v>
      </c>
      <c r="J22" s="3">
        <v>1864</v>
      </c>
      <c r="K22" s="3">
        <v>0.72230000000000005</v>
      </c>
      <c r="L22" s="3">
        <v>1.34636</v>
      </c>
      <c r="M22" s="3">
        <v>20</v>
      </c>
      <c r="N22" s="3">
        <v>1.4509000000000001</v>
      </c>
      <c r="O22" s="3">
        <v>12</v>
      </c>
      <c r="P22" s="3">
        <v>0.87050000000000005</v>
      </c>
      <c r="Q22" s="3">
        <v>32</v>
      </c>
      <c r="R22" s="3">
        <v>2.3214999999999999</v>
      </c>
      <c r="S22" s="3">
        <v>6</v>
      </c>
      <c r="T22" s="3">
        <v>0.43519999999999998</v>
      </c>
      <c r="U22" s="3">
        <v>26</v>
      </c>
      <c r="V22" s="3">
        <v>1.8945000000000001</v>
      </c>
      <c r="W22" s="3">
        <v>6</v>
      </c>
      <c r="X22" s="3">
        <v>0.43519999999999998</v>
      </c>
      <c r="Y22" s="3"/>
      <c r="Z22" s="3"/>
      <c r="AA22" s="2" t="e">
        <f t="shared" si="0"/>
        <v>#N/A</v>
      </c>
      <c r="AB22" s="1" t="e">
        <v>#N/A</v>
      </c>
      <c r="AC22" s="1" t="e">
        <v>#N/A</v>
      </c>
    </row>
    <row r="23" spans="2:29" x14ac:dyDescent="0.2">
      <c r="B23" s="3" t="s">
        <v>61</v>
      </c>
      <c r="C23" s="3" t="s">
        <v>135</v>
      </c>
      <c r="D23" s="3" t="s">
        <v>136</v>
      </c>
      <c r="E23" s="3" t="s">
        <v>137</v>
      </c>
      <c r="F23" s="3" t="s">
        <v>133</v>
      </c>
      <c r="G23" s="3" t="s">
        <v>134</v>
      </c>
      <c r="H23" s="3" t="s">
        <v>64</v>
      </c>
      <c r="I23" s="3">
        <v>76760</v>
      </c>
      <c r="J23" s="3">
        <v>7676</v>
      </c>
      <c r="K23" s="3">
        <v>0.85199999999999998</v>
      </c>
      <c r="L23" s="3">
        <v>6.5399500000000002</v>
      </c>
      <c r="M23" s="3">
        <v>8.5</v>
      </c>
      <c r="N23" s="3">
        <v>0.1298</v>
      </c>
      <c r="O23" s="3">
        <v>0</v>
      </c>
      <c r="P23" s="3">
        <v>0</v>
      </c>
      <c r="Q23" s="3">
        <v>8.5</v>
      </c>
      <c r="R23" s="3">
        <v>0.1298</v>
      </c>
      <c r="S23" s="3">
        <v>4.5</v>
      </c>
      <c r="T23" s="3">
        <v>6.8699999999999997E-2</v>
      </c>
      <c r="U23" s="3">
        <v>4</v>
      </c>
      <c r="V23" s="3">
        <v>6.1100000000000002E-2</v>
      </c>
      <c r="W23" s="3">
        <v>4.5</v>
      </c>
      <c r="X23" s="3">
        <v>6.8699999999999997E-2</v>
      </c>
      <c r="Y23" s="3"/>
      <c r="Z23" s="3"/>
      <c r="AA23" s="2" t="e">
        <f t="shared" si="0"/>
        <v>#N/A</v>
      </c>
      <c r="AB23" s="1" t="e">
        <v>#N/A</v>
      </c>
      <c r="AC23" s="1" t="e">
        <v>#N/A</v>
      </c>
    </row>
    <row r="24" spans="2:29" x14ac:dyDescent="0.2">
      <c r="B24" s="3" t="s">
        <v>61</v>
      </c>
      <c r="C24" s="3" t="s">
        <v>138</v>
      </c>
      <c r="D24" s="3" t="s">
        <v>139</v>
      </c>
      <c r="E24" s="3" t="s">
        <v>64</v>
      </c>
      <c r="F24" s="3" t="s">
        <v>140</v>
      </c>
      <c r="G24" s="3" t="s">
        <v>141</v>
      </c>
      <c r="H24" s="3" t="s">
        <v>142</v>
      </c>
      <c r="I24" s="3">
        <v>74944</v>
      </c>
      <c r="J24" s="3">
        <v>4684</v>
      </c>
      <c r="K24" s="3">
        <v>7.2960000000000003</v>
      </c>
      <c r="L24" s="3">
        <v>34.174460000000003</v>
      </c>
      <c r="M24" s="3">
        <v>94</v>
      </c>
      <c r="N24" s="3">
        <v>0.27189999999999998</v>
      </c>
      <c r="O24" s="3">
        <v>299</v>
      </c>
      <c r="P24" s="3">
        <v>0.8649</v>
      </c>
      <c r="Q24" s="3">
        <v>393</v>
      </c>
      <c r="R24" s="3">
        <v>1.1369</v>
      </c>
      <c r="S24" s="3">
        <v>137</v>
      </c>
      <c r="T24" s="3">
        <v>0.39629999999999999</v>
      </c>
      <c r="U24" s="3">
        <v>256</v>
      </c>
      <c r="V24" s="3">
        <v>0.74350000000000005</v>
      </c>
      <c r="W24" s="3">
        <v>137</v>
      </c>
      <c r="X24" s="3">
        <v>0.39629999999999999</v>
      </c>
      <c r="Y24" s="3"/>
      <c r="Z24" s="3"/>
      <c r="AA24" s="2" t="e">
        <f t="shared" si="0"/>
        <v>#N/A</v>
      </c>
      <c r="AB24" s="1" t="e">
        <v>#N/A</v>
      </c>
      <c r="AC24" s="1" t="e">
        <v>#N/A</v>
      </c>
    </row>
    <row r="25" spans="2:29" x14ac:dyDescent="0.2">
      <c r="B25" s="3" t="s">
        <v>61</v>
      </c>
      <c r="C25" s="3" t="s">
        <v>143</v>
      </c>
      <c r="D25" s="3" t="s">
        <v>144</v>
      </c>
      <c r="E25" s="3" t="s">
        <v>64</v>
      </c>
      <c r="F25" s="3" t="s">
        <v>145</v>
      </c>
      <c r="G25" s="3" t="s">
        <v>146</v>
      </c>
      <c r="H25" s="3" t="s">
        <v>147</v>
      </c>
      <c r="I25" s="3">
        <v>246960</v>
      </c>
      <c r="J25" s="3">
        <v>2744</v>
      </c>
      <c r="K25" s="3">
        <v>5.7450000000000001</v>
      </c>
      <c r="L25" s="3">
        <v>15.764279999999999</v>
      </c>
      <c r="M25" s="3">
        <v>96.5</v>
      </c>
      <c r="N25" s="3">
        <v>0.60840000000000005</v>
      </c>
      <c r="O25" s="3">
        <v>0</v>
      </c>
      <c r="P25" s="3">
        <v>0</v>
      </c>
      <c r="Q25" s="3">
        <v>96.5</v>
      </c>
      <c r="R25" s="3">
        <v>0.60840000000000005</v>
      </c>
      <c r="S25" s="3">
        <v>25</v>
      </c>
      <c r="T25" s="3">
        <v>0.15759999999999999</v>
      </c>
      <c r="U25" s="3">
        <v>71.5</v>
      </c>
      <c r="V25" s="3">
        <v>0.45150000000000001</v>
      </c>
      <c r="W25" s="3">
        <v>25</v>
      </c>
      <c r="X25" s="3">
        <v>0.15759999999999999</v>
      </c>
      <c r="Y25" s="3"/>
      <c r="Z25" s="3"/>
      <c r="AA25" s="2" t="e">
        <f t="shared" si="0"/>
        <v>#N/A</v>
      </c>
      <c r="AB25" s="1" t="e">
        <v>#N/A</v>
      </c>
      <c r="AC25" s="1" t="e">
        <v>#N/A</v>
      </c>
    </row>
    <row r="26" spans="2:29" x14ac:dyDescent="0.2">
      <c r="B26" s="3" t="s">
        <v>61</v>
      </c>
      <c r="C26" s="3" t="s">
        <v>148</v>
      </c>
      <c r="D26" s="3" t="s">
        <v>149</v>
      </c>
      <c r="E26" s="3" t="s">
        <v>137</v>
      </c>
      <c r="F26" s="3" t="s">
        <v>103</v>
      </c>
      <c r="G26" s="3" t="s">
        <v>104</v>
      </c>
      <c r="H26" s="3" t="s">
        <v>64</v>
      </c>
      <c r="I26" s="3">
        <v>46404</v>
      </c>
      <c r="J26" s="3">
        <v>7734</v>
      </c>
      <c r="K26" s="3">
        <v>0.53500000000000003</v>
      </c>
      <c r="L26" s="3">
        <v>4.1376900000000001</v>
      </c>
      <c r="M26" s="3">
        <v>107</v>
      </c>
      <c r="N26" s="3">
        <v>2.5207000000000002</v>
      </c>
      <c r="O26" s="3">
        <v>0</v>
      </c>
      <c r="P26" s="3">
        <v>0</v>
      </c>
      <c r="Q26" s="3">
        <v>107</v>
      </c>
      <c r="R26" s="3">
        <v>2.5207000000000002</v>
      </c>
      <c r="S26" s="3">
        <v>0</v>
      </c>
      <c r="T26" s="3">
        <v>0</v>
      </c>
      <c r="U26" s="3">
        <v>107</v>
      </c>
      <c r="V26" s="3">
        <v>2.5207000000000002</v>
      </c>
      <c r="W26" s="3">
        <v>0</v>
      </c>
      <c r="X26" s="3">
        <v>0</v>
      </c>
      <c r="Y26" s="3"/>
      <c r="Z26" s="3"/>
      <c r="AA26" s="2" t="e">
        <f t="shared" si="0"/>
        <v>#N/A</v>
      </c>
      <c r="AB26" s="1" t="e">
        <v>#N/A</v>
      </c>
      <c r="AC26" s="1" t="e">
        <v>#N/A</v>
      </c>
    </row>
    <row r="27" spans="2:29" x14ac:dyDescent="0.2">
      <c r="B27" s="3" t="s">
        <v>61</v>
      </c>
      <c r="C27" s="3" t="s">
        <v>150</v>
      </c>
      <c r="D27" s="3" t="s">
        <v>151</v>
      </c>
      <c r="E27" s="3" t="s">
        <v>99</v>
      </c>
      <c r="F27" s="3" t="s">
        <v>152</v>
      </c>
      <c r="G27" s="3" t="s">
        <v>153</v>
      </c>
      <c r="H27" s="3" t="s">
        <v>64</v>
      </c>
      <c r="I27" s="3">
        <v>37456</v>
      </c>
      <c r="J27" s="3">
        <v>2341</v>
      </c>
      <c r="K27" s="3">
        <v>7.2960000000000003</v>
      </c>
      <c r="L27" s="3">
        <v>17.079930000000001</v>
      </c>
      <c r="M27" s="3">
        <v>70</v>
      </c>
      <c r="N27" s="3">
        <v>0.40810000000000002</v>
      </c>
      <c r="O27" s="3">
        <v>0</v>
      </c>
      <c r="P27" s="3">
        <v>0</v>
      </c>
      <c r="Q27" s="3">
        <v>70</v>
      </c>
      <c r="R27" s="3">
        <v>0.40810000000000002</v>
      </c>
      <c r="S27" s="3">
        <v>17</v>
      </c>
      <c r="T27" s="3">
        <v>9.9099999999999994E-2</v>
      </c>
      <c r="U27" s="3">
        <v>53</v>
      </c>
      <c r="V27" s="3">
        <v>0.30930000000000002</v>
      </c>
      <c r="W27" s="3">
        <v>17</v>
      </c>
      <c r="X27" s="3">
        <v>9.9099999999999994E-2</v>
      </c>
      <c r="Y27" s="3"/>
      <c r="Z27" s="3"/>
      <c r="AA27" s="2" t="e">
        <f t="shared" si="0"/>
        <v>#N/A</v>
      </c>
      <c r="AB27" s="1" t="e">
        <v>#N/A</v>
      </c>
      <c r="AC27" s="1" t="e">
        <v>#N/A</v>
      </c>
    </row>
    <row r="28" spans="2:29" x14ac:dyDescent="0.2">
      <c r="B28" s="3" t="s">
        <v>61</v>
      </c>
      <c r="C28" s="3" t="s">
        <v>154</v>
      </c>
      <c r="D28" s="3" t="s">
        <v>155</v>
      </c>
      <c r="E28" s="3" t="s">
        <v>64</v>
      </c>
      <c r="F28" s="3" t="s">
        <v>156</v>
      </c>
      <c r="G28" s="3" t="s">
        <v>157</v>
      </c>
      <c r="H28" s="3" t="s">
        <v>158</v>
      </c>
      <c r="I28" s="3">
        <v>40210</v>
      </c>
      <c r="J28" s="3">
        <v>40210</v>
      </c>
      <c r="K28" s="3">
        <v>0.46</v>
      </c>
      <c r="L28" s="3">
        <v>18.496600000000001</v>
      </c>
      <c r="M28" s="3">
        <v>543.36</v>
      </c>
      <c r="N28" s="3">
        <v>2.8289</v>
      </c>
      <c r="O28" s="3">
        <v>167</v>
      </c>
      <c r="P28" s="3">
        <v>0.86939999999999995</v>
      </c>
      <c r="Q28" s="3">
        <v>710.36</v>
      </c>
      <c r="R28" s="3">
        <v>3.6983999999999999</v>
      </c>
      <c r="S28" s="3">
        <v>162.5</v>
      </c>
      <c r="T28" s="3">
        <v>0.84599999999999997</v>
      </c>
      <c r="U28" s="3">
        <v>437</v>
      </c>
      <c r="V28" s="3">
        <v>2.3079999999999998</v>
      </c>
      <c r="W28" s="3">
        <v>273.36</v>
      </c>
      <c r="X28" s="3">
        <v>1.4232</v>
      </c>
      <c r="Y28" s="3"/>
      <c r="Z28" s="3"/>
      <c r="AA28" s="2" t="e">
        <f t="shared" si="0"/>
        <v>#N/A</v>
      </c>
      <c r="AB28" s="1" t="e">
        <v>#N/A</v>
      </c>
      <c r="AC28" s="1" t="e">
        <v>#N/A</v>
      </c>
    </row>
    <row r="29" spans="2:29" x14ac:dyDescent="0.2">
      <c r="B29" s="3" t="s">
        <v>61</v>
      </c>
      <c r="C29" s="3" t="s">
        <v>159</v>
      </c>
      <c r="D29" s="3" t="s">
        <v>160</v>
      </c>
      <c r="E29" s="3" t="s">
        <v>64</v>
      </c>
      <c r="F29" s="3" t="s">
        <v>161</v>
      </c>
      <c r="G29" s="3" t="s">
        <v>162</v>
      </c>
      <c r="H29" s="3" t="s">
        <v>163</v>
      </c>
      <c r="I29" s="3">
        <v>38660</v>
      </c>
      <c r="J29" s="3">
        <v>38660</v>
      </c>
      <c r="K29" s="3">
        <v>0.48959999999999998</v>
      </c>
      <c r="L29" s="3">
        <v>18.93102</v>
      </c>
      <c r="M29" s="3">
        <v>173.82</v>
      </c>
      <c r="N29" s="3">
        <v>0.90910000000000002</v>
      </c>
      <c r="O29" s="3">
        <v>14</v>
      </c>
      <c r="P29" s="3">
        <v>7.3200000000000001E-2</v>
      </c>
      <c r="Q29" s="3">
        <v>187.82</v>
      </c>
      <c r="R29" s="3">
        <v>0.98240000000000005</v>
      </c>
      <c r="S29" s="3">
        <v>33</v>
      </c>
      <c r="T29" s="3">
        <v>0.1726</v>
      </c>
      <c r="U29" s="3">
        <v>75.5</v>
      </c>
      <c r="V29" s="3">
        <v>0.3972</v>
      </c>
      <c r="W29" s="3">
        <v>112.32</v>
      </c>
      <c r="X29" s="3">
        <v>0.58750000000000002</v>
      </c>
      <c r="Y29" s="3"/>
      <c r="Z29" s="3"/>
      <c r="AA29" s="2" t="e">
        <f t="shared" si="0"/>
        <v>#N/A</v>
      </c>
      <c r="AB29" s="1" t="e">
        <v>#N/A</v>
      </c>
      <c r="AC29" s="1" t="e">
        <v>#N/A</v>
      </c>
    </row>
    <row r="30" spans="2:29" x14ac:dyDescent="0.2">
      <c r="B30" s="3" t="s">
        <v>61</v>
      </c>
      <c r="C30" s="3" t="s">
        <v>164</v>
      </c>
      <c r="D30" s="3" t="s">
        <v>165</v>
      </c>
      <c r="E30" s="3" t="s">
        <v>64</v>
      </c>
      <c r="F30" s="3" t="s">
        <v>166</v>
      </c>
      <c r="G30" s="3" t="s">
        <v>167</v>
      </c>
      <c r="H30" s="3" t="s">
        <v>168</v>
      </c>
      <c r="I30" s="3">
        <v>49878</v>
      </c>
      <c r="J30" s="3">
        <v>49878</v>
      </c>
      <c r="K30" s="3">
        <v>0.62350000000000005</v>
      </c>
      <c r="L30" s="3">
        <v>31.102419999999999</v>
      </c>
      <c r="M30" s="3">
        <v>510.69</v>
      </c>
      <c r="N30" s="3">
        <v>1.6062000000000001</v>
      </c>
      <c r="O30" s="3">
        <v>181</v>
      </c>
      <c r="P30" s="3">
        <v>0.56920000000000004</v>
      </c>
      <c r="Q30" s="3">
        <v>691.69</v>
      </c>
      <c r="R30" s="3">
        <v>2.1755</v>
      </c>
      <c r="S30" s="3">
        <v>50</v>
      </c>
      <c r="T30" s="3">
        <v>0.15720000000000001</v>
      </c>
      <c r="U30" s="3">
        <v>401</v>
      </c>
      <c r="V30" s="3">
        <v>1.2727999999999999</v>
      </c>
      <c r="W30" s="3">
        <v>290.69</v>
      </c>
      <c r="X30" s="3">
        <v>0.9143</v>
      </c>
      <c r="Y30" s="3"/>
      <c r="Z30" s="3"/>
      <c r="AA30" s="2" t="e">
        <f t="shared" si="0"/>
        <v>#N/A</v>
      </c>
      <c r="AB30" s="1" t="e">
        <v>#N/A</v>
      </c>
      <c r="AC30" s="1" t="e">
        <v>#N/A</v>
      </c>
    </row>
    <row r="31" spans="2:29" x14ac:dyDescent="0.2">
      <c r="B31" s="3" t="s">
        <v>61</v>
      </c>
      <c r="C31" s="3" t="s">
        <v>169</v>
      </c>
      <c r="D31" s="3" t="s">
        <v>170</v>
      </c>
      <c r="E31" s="3" t="s">
        <v>64</v>
      </c>
      <c r="F31" s="3" t="s">
        <v>171</v>
      </c>
      <c r="G31" s="3" t="s">
        <v>172</v>
      </c>
      <c r="H31" s="3" t="s">
        <v>173</v>
      </c>
      <c r="I31" s="3">
        <v>24528</v>
      </c>
      <c r="J31" s="3">
        <v>24528</v>
      </c>
      <c r="K31" s="3">
        <v>0.74470000000000003</v>
      </c>
      <c r="L31" s="3">
        <v>18.26624</v>
      </c>
      <c r="M31" s="3">
        <v>190.11</v>
      </c>
      <c r="N31" s="3">
        <v>1.0237000000000001</v>
      </c>
      <c r="O31" s="3">
        <v>114</v>
      </c>
      <c r="P31" s="3">
        <v>0.61380000000000001</v>
      </c>
      <c r="Q31" s="3">
        <v>304.11</v>
      </c>
      <c r="R31" s="3">
        <v>1.6375999999999999</v>
      </c>
      <c r="S31" s="3">
        <v>25</v>
      </c>
      <c r="T31" s="3">
        <v>0.1346</v>
      </c>
      <c r="U31" s="3">
        <v>225.5</v>
      </c>
      <c r="V31" s="3">
        <v>1.2194</v>
      </c>
      <c r="W31" s="3">
        <v>78.61</v>
      </c>
      <c r="X31" s="3">
        <v>0.42330000000000001</v>
      </c>
      <c r="Y31" s="3"/>
      <c r="Z31" s="3"/>
      <c r="AA31" s="2" t="e">
        <f t="shared" si="0"/>
        <v>#N/A</v>
      </c>
      <c r="AB31" s="1" t="e">
        <v>#N/A</v>
      </c>
      <c r="AC31" s="1" t="e">
        <v>#N/A</v>
      </c>
    </row>
    <row r="32" spans="2:29" x14ac:dyDescent="0.2">
      <c r="B32" s="3" t="s">
        <v>61</v>
      </c>
      <c r="C32" s="3" t="s">
        <v>174</v>
      </c>
      <c r="D32" s="3" t="s">
        <v>175</v>
      </c>
      <c r="E32" s="3" t="s">
        <v>64</v>
      </c>
      <c r="F32" s="3" t="s">
        <v>103</v>
      </c>
      <c r="G32" s="3" t="s">
        <v>104</v>
      </c>
      <c r="H32" s="3" t="s">
        <v>64</v>
      </c>
      <c r="I32" s="3">
        <v>33880</v>
      </c>
      <c r="J32" s="3">
        <v>8470</v>
      </c>
      <c r="K32" s="3">
        <v>0.36099999999999999</v>
      </c>
      <c r="L32" s="3">
        <v>3.0576699999999999</v>
      </c>
      <c r="M32" s="3">
        <v>77</v>
      </c>
      <c r="N32" s="3">
        <v>2.2812999999999999</v>
      </c>
      <c r="O32" s="3">
        <v>240.5</v>
      </c>
      <c r="P32" s="3">
        <v>7.1254999999999997</v>
      </c>
      <c r="Q32" s="3">
        <v>317.5</v>
      </c>
      <c r="R32" s="3">
        <v>9.4069000000000003</v>
      </c>
      <c r="S32" s="3">
        <v>37</v>
      </c>
      <c r="T32" s="3">
        <v>1.0962000000000001</v>
      </c>
      <c r="U32" s="3">
        <v>280.5</v>
      </c>
      <c r="V32" s="3">
        <v>8.4027999999999992</v>
      </c>
      <c r="W32" s="3">
        <v>37</v>
      </c>
      <c r="X32" s="3">
        <v>1.0962000000000001</v>
      </c>
      <c r="Y32" s="3"/>
      <c r="Z32" s="3"/>
      <c r="AA32" s="2" t="e">
        <f t="shared" si="0"/>
        <v>#N/A</v>
      </c>
      <c r="AB32" s="1" t="e">
        <v>#N/A</v>
      </c>
      <c r="AC32" s="1" t="e">
        <v>#N/A</v>
      </c>
    </row>
    <row r="33" spans="2:29" x14ac:dyDescent="0.2">
      <c r="B33" s="3" t="s">
        <v>61</v>
      </c>
      <c r="C33" s="3" t="s">
        <v>176</v>
      </c>
      <c r="D33" s="3" t="s">
        <v>177</v>
      </c>
      <c r="E33" s="3" t="s">
        <v>64</v>
      </c>
      <c r="F33" s="3" t="s">
        <v>65</v>
      </c>
      <c r="G33" s="3" t="s">
        <v>66</v>
      </c>
      <c r="H33" s="3" t="s">
        <v>100</v>
      </c>
      <c r="I33" s="3">
        <v>6318</v>
      </c>
      <c r="J33" s="3">
        <v>1053</v>
      </c>
      <c r="K33" s="3">
        <v>0.41699999999999998</v>
      </c>
      <c r="L33" s="3">
        <v>0.43909999999999999</v>
      </c>
      <c r="M33" s="3">
        <v>0</v>
      </c>
      <c r="N33" s="3">
        <v>0</v>
      </c>
      <c r="O33" s="3">
        <v>11.5</v>
      </c>
      <c r="P33" s="3">
        <v>2.5520999999999998</v>
      </c>
      <c r="Q33" s="3">
        <v>11.5</v>
      </c>
      <c r="R33" s="3">
        <v>2.5520999999999998</v>
      </c>
      <c r="S33" s="3">
        <v>0</v>
      </c>
      <c r="T33" s="3">
        <v>0</v>
      </c>
      <c r="U33" s="3">
        <v>11.5</v>
      </c>
      <c r="V33" s="3">
        <v>2.5520999999999998</v>
      </c>
      <c r="W33" s="3">
        <v>0</v>
      </c>
      <c r="X33" s="3">
        <v>0</v>
      </c>
      <c r="Y33" s="3"/>
      <c r="Z33" s="3"/>
      <c r="AA33" s="2" t="e">
        <f t="shared" si="0"/>
        <v>#N/A</v>
      </c>
      <c r="AB33" s="1" t="e">
        <v>#N/A</v>
      </c>
      <c r="AC33" s="1" t="e">
        <v>#N/A</v>
      </c>
    </row>
    <row r="34" spans="2:29" x14ac:dyDescent="0.2">
      <c r="B34" s="3" t="s">
        <v>61</v>
      </c>
      <c r="C34" s="3" t="s">
        <v>178</v>
      </c>
      <c r="D34" s="3" t="s">
        <v>179</v>
      </c>
      <c r="E34" s="3" t="s">
        <v>64</v>
      </c>
      <c r="F34" s="3" t="s">
        <v>180</v>
      </c>
      <c r="G34" s="3" t="s">
        <v>181</v>
      </c>
      <c r="H34" s="3" t="s">
        <v>182</v>
      </c>
      <c r="I34" s="3">
        <v>96000</v>
      </c>
      <c r="J34" s="3">
        <v>9600</v>
      </c>
      <c r="K34" s="3">
        <v>0.90300000000000002</v>
      </c>
      <c r="L34" s="3">
        <v>8.6687999999999992</v>
      </c>
      <c r="M34" s="3">
        <v>84.75</v>
      </c>
      <c r="N34" s="3">
        <v>0.96589999999999998</v>
      </c>
      <c r="O34" s="3">
        <v>21</v>
      </c>
      <c r="P34" s="3">
        <v>0.23930000000000001</v>
      </c>
      <c r="Q34" s="3">
        <v>105.75</v>
      </c>
      <c r="R34" s="3">
        <v>1.2052</v>
      </c>
      <c r="S34" s="3">
        <v>28.5</v>
      </c>
      <c r="T34" s="3">
        <v>0.32479999999999998</v>
      </c>
      <c r="U34" s="3">
        <v>61</v>
      </c>
      <c r="V34" s="3">
        <v>0.69869999999999999</v>
      </c>
      <c r="W34" s="3">
        <v>44.75</v>
      </c>
      <c r="X34" s="3">
        <v>0.51</v>
      </c>
      <c r="Y34" s="3"/>
      <c r="Z34" s="3"/>
      <c r="AA34" s="2" t="e">
        <f t="shared" si="0"/>
        <v>#N/A</v>
      </c>
      <c r="AB34" s="1" t="e">
        <v>#N/A</v>
      </c>
      <c r="AC34" s="1" t="e">
        <v>#N/A</v>
      </c>
    </row>
    <row r="35" spans="2:29" x14ac:dyDescent="0.2">
      <c r="B35" s="3" t="s">
        <v>61</v>
      </c>
      <c r="C35" s="3" t="s">
        <v>183</v>
      </c>
      <c r="D35" s="3" t="s">
        <v>184</v>
      </c>
      <c r="E35" s="3" t="s">
        <v>64</v>
      </c>
      <c r="F35" s="3" t="s">
        <v>185</v>
      </c>
      <c r="G35" s="3" t="s">
        <v>186</v>
      </c>
      <c r="H35" s="3" t="s">
        <v>187</v>
      </c>
      <c r="I35" s="3">
        <v>45630</v>
      </c>
      <c r="J35" s="3">
        <v>4563</v>
      </c>
      <c r="K35" s="3">
        <v>5.9790000000000001</v>
      </c>
      <c r="L35" s="3">
        <v>27.282170000000001</v>
      </c>
      <c r="M35" s="3">
        <v>169.5</v>
      </c>
      <c r="N35" s="3">
        <v>0.61570000000000003</v>
      </c>
      <c r="O35" s="3">
        <v>75</v>
      </c>
      <c r="P35" s="3">
        <v>0.27239999999999998</v>
      </c>
      <c r="Q35" s="3">
        <v>244.5</v>
      </c>
      <c r="R35" s="3">
        <v>0.88819999999999999</v>
      </c>
      <c r="S35" s="3">
        <v>44</v>
      </c>
      <c r="T35" s="3">
        <v>0.1598</v>
      </c>
      <c r="U35" s="3">
        <v>200.5</v>
      </c>
      <c r="V35" s="3">
        <v>0.72950000000000004</v>
      </c>
      <c r="W35" s="3">
        <v>44</v>
      </c>
      <c r="X35" s="3">
        <v>0.1598</v>
      </c>
      <c r="Y35" s="3"/>
      <c r="Z35" s="3"/>
      <c r="AA35" s="2" t="e">
        <f t="shared" si="0"/>
        <v>#N/A</v>
      </c>
      <c r="AB35" s="1" t="e">
        <v>#N/A</v>
      </c>
      <c r="AC35" s="1" t="e">
        <v>#N/A</v>
      </c>
    </row>
    <row r="36" spans="2:29" x14ac:dyDescent="0.2">
      <c r="B36" s="3" t="s">
        <v>61</v>
      </c>
      <c r="C36" s="3" t="s">
        <v>188</v>
      </c>
      <c r="D36" s="3" t="s">
        <v>189</v>
      </c>
      <c r="E36" s="3" t="s">
        <v>190</v>
      </c>
      <c r="F36" s="3" t="s">
        <v>166</v>
      </c>
      <c r="G36" s="3" t="s">
        <v>167</v>
      </c>
      <c r="H36" s="3" t="s">
        <v>191</v>
      </c>
      <c r="I36" s="3">
        <v>2280</v>
      </c>
      <c r="J36" s="3">
        <v>1140</v>
      </c>
      <c r="K36" s="3">
        <v>1.23</v>
      </c>
      <c r="L36" s="3">
        <v>1.4021999999999999</v>
      </c>
      <c r="M36" s="3" t="s">
        <v>64</v>
      </c>
      <c r="N36" s="3" t="s">
        <v>64</v>
      </c>
      <c r="O36" s="3" t="s">
        <v>64</v>
      </c>
      <c r="P36" s="3" t="s">
        <v>64</v>
      </c>
      <c r="Q36" s="3" t="s">
        <v>64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64</v>
      </c>
      <c r="W36" s="3" t="s">
        <v>64</v>
      </c>
      <c r="X36" s="3" t="s">
        <v>64</v>
      </c>
      <c r="Y36" s="3"/>
      <c r="Z36" s="3"/>
      <c r="AA36" s="2" t="e">
        <f t="shared" si="0"/>
        <v>#N/A</v>
      </c>
      <c r="AB36" s="1" t="e">
        <v>#N/A</v>
      </c>
      <c r="AC36" s="1" t="e">
        <v>#N/A</v>
      </c>
    </row>
    <row r="37" spans="2:29" x14ac:dyDescent="0.2">
      <c r="B37" s="3" t="s">
        <v>61</v>
      </c>
      <c r="C37" s="3" t="s">
        <v>192</v>
      </c>
      <c r="D37" s="3" t="s">
        <v>193</v>
      </c>
      <c r="E37" s="3" t="s">
        <v>64</v>
      </c>
      <c r="F37" s="3" t="s">
        <v>156</v>
      </c>
      <c r="G37" s="3" t="s">
        <v>157</v>
      </c>
      <c r="H37" s="3" t="s">
        <v>194</v>
      </c>
      <c r="I37" s="3">
        <v>22590</v>
      </c>
      <c r="J37" s="3">
        <v>22590</v>
      </c>
      <c r="K37" s="3">
        <v>0.47939999999999999</v>
      </c>
      <c r="L37" s="3">
        <v>10.83122</v>
      </c>
      <c r="M37" s="3">
        <v>0</v>
      </c>
      <c r="N37" s="3">
        <v>0</v>
      </c>
      <c r="O37" s="3">
        <v>85</v>
      </c>
      <c r="P37" s="3">
        <v>0.77859999999999996</v>
      </c>
      <c r="Q37" s="3">
        <v>85</v>
      </c>
      <c r="R37" s="3">
        <v>0.77859999999999996</v>
      </c>
      <c r="S37" s="3">
        <v>0</v>
      </c>
      <c r="T37" s="3">
        <v>0</v>
      </c>
      <c r="U37" s="3">
        <v>85</v>
      </c>
      <c r="V37" s="3">
        <v>0.77859999999999996</v>
      </c>
      <c r="W37" s="3">
        <v>0</v>
      </c>
      <c r="X37" s="3">
        <v>0</v>
      </c>
      <c r="Y37" s="3"/>
      <c r="Z37" s="3"/>
      <c r="AA37" s="2" t="e">
        <f t="shared" si="0"/>
        <v>#N/A</v>
      </c>
      <c r="AB37" s="1" t="e">
        <v>#N/A</v>
      </c>
      <c r="AC37" s="1" t="e">
        <v>#N/A</v>
      </c>
    </row>
    <row r="38" spans="2:29" x14ac:dyDescent="0.2">
      <c r="B38" s="3" t="s">
        <v>61</v>
      </c>
      <c r="C38" s="3" t="s">
        <v>195</v>
      </c>
      <c r="D38" s="3" t="s">
        <v>196</v>
      </c>
      <c r="E38" s="3" t="s">
        <v>197</v>
      </c>
      <c r="F38" s="3" t="s">
        <v>161</v>
      </c>
      <c r="G38" s="3" t="s">
        <v>162</v>
      </c>
      <c r="H38" s="3" t="s">
        <v>198</v>
      </c>
      <c r="I38" s="3">
        <v>2630</v>
      </c>
      <c r="J38" s="3">
        <v>263</v>
      </c>
      <c r="K38" s="3">
        <v>4.8899999999999997</v>
      </c>
      <c r="L38" s="3">
        <v>1.28607</v>
      </c>
      <c r="M38" s="3" t="s">
        <v>64</v>
      </c>
      <c r="N38" s="3" t="s">
        <v>64</v>
      </c>
      <c r="O38" s="3" t="s">
        <v>64</v>
      </c>
      <c r="P38" s="3" t="s">
        <v>64</v>
      </c>
      <c r="Q38" s="3" t="s">
        <v>64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64</v>
      </c>
      <c r="W38" s="3" t="s">
        <v>64</v>
      </c>
      <c r="X38" s="3" t="s">
        <v>64</v>
      </c>
      <c r="Y38" s="3"/>
      <c r="Z38" s="3"/>
      <c r="AA38" s="2" t="e">
        <f t="shared" si="0"/>
        <v>#N/A</v>
      </c>
      <c r="AB38" s="1" t="e">
        <v>#N/A</v>
      </c>
      <c r="AC38" s="1" t="e">
        <v>#N/A</v>
      </c>
    </row>
    <row r="39" spans="2:29" x14ac:dyDescent="0.2">
      <c r="B39" s="3" t="s">
        <v>61</v>
      </c>
      <c r="C39" s="3" t="s">
        <v>199</v>
      </c>
      <c r="D39" s="3" t="s">
        <v>200</v>
      </c>
      <c r="E39" s="3" t="s">
        <v>64</v>
      </c>
      <c r="F39" s="3" t="s">
        <v>201</v>
      </c>
      <c r="G39" s="3" t="s">
        <v>202</v>
      </c>
      <c r="H39" s="3" t="s">
        <v>64</v>
      </c>
      <c r="I39" s="3">
        <v>39160</v>
      </c>
      <c r="J39" s="3">
        <v>3916</v>
      </c>
      <c r="K39" s="3">
        <v>0.90600000000000003</v>
      </c>
      <c r="L39" s="3">
        <v>3.5478900000000002</v>
      </c>
      <c r="M39" s="3">
        <v>34.5</v>
      </c>
      <c r="N39" s="3">
        <v>0.96299999999999997</v>
      </c>
      <c r="O39" s="3">
        <v>0</v>
      </c>
      <c r="P39" s="3">
        <v>0</v>
      </c>
      <c r="Q39" s="3">
        <v>34.5</v>
      </c>
      <c r="R39" s="3">
        <v>0.96299999999999997</v>
      </c>
      <c r="S39" s="3">
        <v>0</v>
      </c>
      <c r="T39" s="3">
        <v>0</v>
      </c>
      <c r="U39" s="3">
        <v>34.5</v>
      </c>
      <c r="V39" s="3">
        <v>0.96299999999999997</v>
      </c>
      <c r="W39" s="3">
        <v>0</v>
      </c>
      <c r="X39" s="3">
        <v>0</v>
      </c>
      <c r="Y39" s="3"/>
      <c r="Z39" s="3"/>
      <c r="AA39" s="2">
        <v>0</v>
      </c>
      <c r="AB39" s="1">
        <v>0</v>
      </c>
      <c r="AC39" s="1">
        <v>0</v>
      </c>
    </row>
    <row r="40" spans="2:29" x14ac:dyDescent="0.2">
      <c r="B40" s="3" t="s">
        <v>61</v>
      </c>
      <c r="C40" s="3" t="s">
        <v>203</v>
      </c>
      <c r="D40" s="3" t="s">
        <v>204</v>
      </c>
      <c r="E40" s="3" t="s">
        <v>64</v>
      </c>
      <c r="F40" s="3" t="s">
        <v>64</v>
      </c>
      <c r="G40" s="3" t="s">
        <v>64</v>
      </c>
      <c r="H40" s="3" t="s">
        <v>64</v>
      </c>
      <c r="I40" s="3" t="s">
        <v>64</v>
      </c>
      <c r="J40" s="3" t="s">
        <v>64</v>
      </c>
      <c r="K40" s="3" t="s">
        <v>64</v>
      </c>
      <c r="L40" s="3" t="s">
        <v>64</v>
      </c>
      <c r="M40" s="3">
        <v>25.07</v>
      </c>
      <c r="N40" s="3">
        <v>100</v>
      </c>
      <c r="O40" s="3">
        <v>0</v>
      </c>
      <c r="P40" s="3">
        <v>0</v>
      </c>
      <c r="Q40" s="3">
        <v>25.07</v>
      </c>
      <c r="R40" s="3">
        <v>100</v>
      </c>
      <c r="S40" s="3">
        <v>0</v>
      </c>
      <c r="T40" s="3">
        <v>0</v>
      </c>
      <c r="U40" s="3">
        <v>21</v>
      </c>
      <c r="V40" s="3">
        <v>100</v>
      </c>
      <c r="W40" s="3">
        <v>4.07</v>
      </c>
      <c r="X40" s="3">
        <v>16.247900000000001</v>
      </c>
      <c r="Y40" s="3"/>
      <c r="Z40" s="3"/>
      <c r="AA40" s="2">
        <v>0</v>
      </c>
      <c r="AB40" s="1">
        <v>0</v>
      </c>
      <c r="AC40" s="1">
        <v>0</v>
      </c>
    </row>
    <row r="41" spans="2:29" x14ac:dyDescent="0.2">
      <c r="B41" s="3" t="s">
        <v>61</v>
      </c>
      <c r="C41" s="3" t="s">
        <v>205</v>
      </c>
      <c r="D41" s="3" t="s">
        <v>206</v>
      </c>
      <c r="E41" s="3" t="s">
        <v>64</v>
      </c>
      <c r="F41" s="3" t="s">
        <v>64</v>
      </c>
      <c r="G41" s="3" t="s">
        <v>64</v>
      </c>
      <c r="H41" s="3" t="s">
        <v>64</v>
      </c>
      <c r="I41" s="3" t="s">
        <v>64</v>
      </c>
      <c r="J41" s="3" t="s">
        <v>64</v>
      </c>
      <c r="K41" s="3" t="s">
        <v>64</v>
      </c>
      <c r="L41" s="3" t="s">
        <v>64</v>
      </c>
      <c r="M41" s="3">
        <v>8.5</v>
      </c>
      <c r="N41" s="3">
        <v>100</v>
      </c>
      <c r="O41" s="3">
        <v>0</v>
      </c>
      <c r="P41" s="3">
        <v>0</v>
      </c>
      <c r="Q41" s="3">
        <v>8.5</v>
      </c>
      <c r="R41" s="3">
        <v>100</v>
      </c>
      <c r="S41" s="3">
        <v>0</v>
      </c>
      <c r="T41" s="3">
        <v>0</v>
      </c>
      <c r="U41" s="3">
        <v>8.5</v>
      </c>
      <c r="V41" s="3">
        <v>100</v>
      </c>
      <c r="W41" s="3">
        <v>0</v>
      </c>
      <c r="X41" s="3">
        <v>0</v>
      </c>
      <c r="Y41" s="3"/>
      <c r="Z41" s="3"/>
      <c r="AA41" s="2" t="e">
        <f t="shared" si="0"/>
        <v>#N/A</v>
      </c>
      <c r="AB41" s="1" t="e">
        <v>#N/A</v>
      </c>
      <c r="AC41" s="1" t="e">
        <v>#N/A</v>
      </c>
    </row>
    <row r="42" spans="2:29" x14ac:dyDescent="0.2">
      <c r="B42" s="6" t="s">
        <v>61</v>
      </c>
      <c r="C42" s="6" t="s">
        <v>28</v>
      </c>
      <c r="D42" s="6" t="s">
        <v>64</v>
      </c>
      <c r="E42" s="6" t="s">
        <v>64</v>
      </c>
      <c r="F42" s="6" t="s">
        <v>64</v>
      </c>
      <c r="G42" s="6" t="s">
        <v>64</v>
      </c>
      <c r="H42" s="6" t="s">
        <v>207</v>
      </c>
      <c r="I42" s="6">
        <v>1506735</v>
      </c>
      <c r="J42" s="6">
        <v>390336</v>
      </c>
      <c r="K42" s="6" t="s">
        <v>64</v>
      </c>
      <c r="L42" s="6">
        <v>406.62804999999997</v>
      </c>
      <c r="M42" s="6">
        <v>4027.71</v>
      </c>
      <c r="N42" s="6">
        <v>0.97450000000000003</v>
      </c>
      <c r="O42" s="6">
        <v>2627</v>
      </c>
      <c r="P42" s="6">
        <v>0.63560000000000005</v>
      </c>
      <c r="Q42" s="6">
        <v>6654.71</v>
      </c>
      <c r="R42" s="6">
        <v>1.6102000000000001</v>
      </c>
      <c r="S42" s="6">
        <v>1068</v>
      </c>
      <c r="T42" s="6">
        <v>0.25840000000000002</v>
      </c>
      <c r="U42" s="6">
        <v>4242.5</v>
      </c>
      <c r="V42" s="6">
        <v>1.0325</v>
      </c>
      <c r="W42" s="6">
        <v>2412.21</v>
      </c>
      <c r="X42" s="3">
        <v>0.58360000000000001</v>
      </c>
      <c r="Y42" s="3"/>
      <c r="Z42" s="3"/>
    </row>
    <row r="43" spans="2:29" x14ac:dyDescent="0.2">
      <c r="B43" s="3" t="s">
        <v>208</v>
      </c>
      <c r="C43" s="3" t="s">
        <v>209</v>
      </c>
      <c r="D43" s="3" t="s">
        <v>210</v>
      </c>
      <c r="E43" s="3" t="s">
        <v>64</v>
      </c>
      <c r="F43" s="3" t="s">
        <v>211</v>
      </c>
      <c r="G43" s="3" t="s">
        <v>212</v>
      </c>
      <c r="H43" s="3" t="s">
        <v>64</v>
      </c>
      <c r="I43" s="3">
        <v>289440</v>
      </c>
      <c r="J43" s="3">
        <v>28944</v>
      </c>
      <c r="K43" s="3">
        <v>0.255</v>
      </c>
      <c r="L43" s="3">
        <v>7.3807200000000002</v>
      </c>
      <c r="M43" s="3">
        <v>47.5</v>
      </c>
      <c r="N43" s="3">
        <v>0.63849999999999996</v>
      </c>
      <c r="O43" s="3">
        <v>10.5</v>
      </c>
      <c r="P43" s="3">
        <v>0.1411</v>
      </c>
      <c r="Q43" s="3">
        <v>58</v>
      </c>
      <c r="R43" s="3">
        <v>0.77969999999999995</v>
      </c>
      <c r="S43" s="3">
        <v>25</v>
      </c>
      <c r="T43" s="3">
        <v>0.33600000000000002</v>
      </c>
      <c r="U43" s="3">
        <v>33</v>
      </c>
      <c r="V43" s="3">
        <v>0.4451</v>
      </c>
      <c r="W43" s="3">
        <v>25</v>
      </c>
      <c r="X43" s="3">
        <v>0.33600000000000002</v>
      </c>
      <c r="Y43" s="3"/>
      <c r="Z43" s="3"/>
      <c r="AA43" s="2" t="e">
        <f t="shared" si="0"/>
        <v>#N/A</v>
      </c>
      <c r="AB43" s="1" t="e">
        <v>#N/A</v>
      </c>
      <c r="AC43" s="1" t="e">
        <v>#N/A</v>
      </c>
    </row>
    <row r="44" spans="2:29" x14ac:dyDescent="0.2">
      <c r="B44" s="3" t="s">
        <v>208</v>
      </c>
      <c r="C44" s="3" t="s">
        <v>213</v>
      </c>
      <c r="D44" s="3" t="s">
        <v>214</v>
      </c>
      <c r="E44" s="3" t="s">
        <v>64</v>
      </c>
      <c r="F44" s="3" t="s">
        <v>215</v>
      </c>
      <c r="G44" s="3" t="s">
        <v>216</v>
      </c>
      <c r="H44" s="3" t="s">
        <v>217</v>
      </c>
      <c r="I44" s="3">
        <v>220080</v>
      </c>
      <c r="J44" s="3">
        <v>14672</v>
      </c>
      <c r="K44" s="3">
        <v>0.46410000000000001</v>
      </c>
      <c r="L44" s="3">
        <v>6.8092699999999997</v>
      </c>
      <c r="M44" s="3">
        <v>7</v>
      </c>
      <c r="N44" s="3">
        <v>0.1023</v>
      </c>
      <c r="O44" s="3">
        <v>26</v>
      </c>
      <c r="P44" s="3">
        <v>0.37990000000000002</v>
      </c>
      <c r="Q44" s="3">
        <v>33</v>
      </c>
      <c r="R44" s="3">
        <v>0.48220000000000002</v>
      </c>
      <c r="S44" s="3">
        <v>3</v>
      </c>
      <c r="T44" s="3">
        <v>4.3799999999999999E-2</v>
      </c>
      <c r="U44" s="3">
        <v>30</v>
      </c>
      <c r="V44" s="3">
        <v>0.43859999999999999</v>
      </c>
      <c r="W44" s="3">
        <v>3</v>
      </c>
      <c r="X44" s="3">
        <v>4.3799999999999999E-2</v>
      </c>
      <c r="Y44" s="3"/>
      <c r="Z44" s="3"/>
      <c r="AA44" s="2" t="e">
        <f t="shared" si="0"/>
        <v>#N/A</v>
      </c>
      <c r="AB44" s="1" t="e">
        <v>#N/A</v>
      </c>
      <c r="AC44" s="1" t="e">
        <v>#N/A</v>
      </c>
    </row>
    <row r="45" spans="2:29" x14ac:dyDescent="0.2">
      <c r="B45" s="3" t="s">
        <v>208</v>
      </c>
      <c r="C45" s="3" t="s">
        <v>218</v>
      </c>
      <c r="D45" s="3" t="s">
        <v>219</v>
      </c>
      <c r="E45" s="3" t="s">
        <v>64</v>
      </c>
      <c r="F45" s="3" t="s">
        <v>220</v>
      </c>
      <c r="G45" s="3" t="s">
        <v>221</v>
      </c>
      <c r="H45" s="3" t="s">
        <v>64</v>
      </c>
      <c r="I45" s="3">
        <v>75600</v>
      </c>
      <c r="J45" s="3">
        <v>7560</v>
      </c>
      <c r="K45" s="3">
        <v>0.43419999999999997</v>
      </c>
      <c r="L45" s="3">
        <v>3.2825500000000001</v>
      </c>
      <c r="M45" s="3">
        <v>13</v>
      </c>
      <c r="N45" s="3">
        <v>0.3926</v>
      </c>
      <c r="O45" s="3">
        <v>15</v>
      </c>
      <c r="P45" s="3">
        <v>0.45300000000000001</v>
      </c>
      <c r="Q45" s="3">
        <v>28</v>
      </c>
      <c r="R45" s="3">
        <v>0.84570000000000001</v>
      </c>
      <c r="S45" s="3">
        <v>8</v>
      </c>
      <c r="T45" s="3">
        <v>0.24160000000000001</v>
      </c>
      <c r="U45" s="3">
        <v>20</v>
      </c>
      <c r="V45" s="3">
        <v>0.60550000000000004</v>
      </c>
      <c r="W45" s="3">
        <v>8</v>
      </c>
      <c r="X45" s="3">
        <v>0.24160000000000001</v>
      </c>
      <c r="Y45" s="3"/>
      <c r="Z45" s="3"/>
      <c r="AA45" s="2" t="e">
        <f t="shared" si="0"/>
        <v>#N/A</v>
      </c>
      <c r="AB45" s="1" t="e">
        <v>#N/A</v>
      </c>
      <c r="AC45" s="1" t="e">
        <v>#N/A</v>
      </c>
    </row>
    <row r="46" spans="2:29" x14ac:dyDescent="0.2">
      <c r="B46" s="3" t="s">
        <v>208</v>
      </c>
      <c r="C46" s="3" t="s">
        <v>222</v>
      </c>
      <c r="D46" s="3" t="s">
        <v>223</v>
      </c>
      <c r="E46" s="3" t="s">
        <v>64</v>
      </c>
      <c r="F46" s="3" t="s">
        <v>224</v>
      </c>
      <c r="G46" s="3" t="s">
        <v>225</v>
      </c>
      <c r="H46" s="3" t="s">
        <v>226</v>
      </c>
      <c r="I46" s="3">
        <v>232704</v>
      </c>
      <c r="J46" s="3">
        <v>29088</v>
      </c>
      <c r="K46" s="3">
        <v>0.247</v>
      </c>
      <c r="L46" s="3">
        <v>7.1847300000000001</v>
      </c>
      <c r="M46" s="3">
        <v>35</v>
      </c>
      <c r="N46" s="3">
        <v>0.48470000000000002</v>
      </c>
      <c r="O46" s="3">
        <v>0</v>
      </c>
      <c r="P46" s="3">
        <v>0</v>
      </c>
      <c r="Q46" s="3">
        <v>35</v>
      </c>
      <c r="R46" s="3">
        <v>0.48470000000000002</v>
      </c>
      <c r="S46" s="3">
        <v>19.5</v>
      </c>
      <c r="T46" s="3">
        <v>0.27</v>
      </c>
      <c r="U46" s="3">
        <v>15.5</v>
      </c>
      <c r="V46" s="3">
        <v>0.2152</v>
      </c>
      <c r="W46" s="3">
        <v>19.5</v>
      </c>
      <c r="X46" s="3">
        <v>0.27</v>
      </c>
      <c r="Y46" s="3"/>
      <c r="Z46" s="3"/>
      <c r="AA46" s="2" t="e">
        <f t="shared" si="0"/>
        <v>#N/A</v>
      </c>
      <c r="AB46" s="1" t="e">
        <v>#N/A</v>
      </c>
      <c r="AC46" s="1" t="e">
        <v>#N/A</v>
      </c>
    </row>
    <row r="47" spans="2:29" x14ac:dyDescent="0.2">
      <c r="B47" s="3" t="s">
        <v>208</v>
      </c>
      <c r="C47" s="3" t="s">
        <v>227</v>
      </c>
      <c r="D47" s="3" t="s">
        <v>228</v>
      </c>
      <c r="E47" s="3" t="s">
        <v>64</v>
      </c>
      <c r="F47" s="3" t="s">
        <v>229</v>
      </c>
      <c r="G47" s="3" t="s">
        <v>230</v>
      </c>
      <c r="H47" s="3" t="s">
        <v>231</v>
      </c>
      <c r="I47" s="3">
        <v>587520</v>
      </c>
      <c r="J47" s="3">
        <v>2720</v>
      </c>
      <c r="K47" s="3">
        <v>6.6833999999999998</v>
      </c>
      <c r="L47" s="3">
        <v>18.178840000000001</v>
      </c>
      <c r="M47" s="3">
        <v>367.5</v>
      </c>
      <c r="N47" s="3">
        <v>1.9815</v>
      </c>
      <c r="O47" s="3">
        <v>0</v>
      </c>
      <c r="P47" s="3">
        <v>0</v>
      </c>
      <c r="Q47" s="3">
        <v>367.5</v>
      </c>
      <c r="R47" s="3">
        <v>1.9815</v>
      </c>
      <c r="S47" s="3">
        <v>346</v>
      </c>
      <c r="T47" s="3">
        <v>1.8654999999999999</v>
      </c>
      <c r="U47" s="3">
        <v>21.5</v>
      </c>
      <c r="V47" s="3">
        <v>0.1181</v>
      </c>
      <c r="W47" s="3">
        <v>346</v>
      </c>
      <c r="X47" s="3">
        <v>1.8654999999999999</v>
      </c>
      <c r="Y47" s="3"/>
      <c r="Z47" s="3"/>
      <c r="AA47" s="2" t="e">
        <f t="shared" si="0"/>
        <v>#N/A</v>
      </c>
      <c r="AB47" s="1" t="e">
        <v>#N/A</v>
      </c>
      <c r="AC47" s="1" t="e">
        <v>#N/A</v>
      </c>
    </row>
    <row r="48" spans="2:29" x14ac:dyDescent="0.2">
      <c r="B48" s="3" t="s">
        <v>208</v>
      </c>
      <c r="C48" s="3" t="s">
        <v>232</v>
      </c>
      <c r="D48" s="3" t="s">
        <v>233</v>
      </c>
      <c r="E48" s="3" t="s">
        <v>137</v>
      </c>
      <c r="F48" s="3" t="s">
        <v>215</v>
      </c>
      <c r="G48" s="3" t="s">
        <v>216</v>
      </c>
      <c r="H48" s="3" t="s">
        <v>234</v>
      </c>
      <c r="I48" s="3">
        <v>19800</v>
      </c>
      <c r="J48" s="3">
        <v>900</v>
      </c>
      <c r="K48" s="3">
        <v>0.66</v>
      </c>
      <c r="L48" s="3">
        <v>0.59399999999999997</v>
      </c>
      <c r="M48" s="3" t="s">
        <v>64</v>
      </c>
      <c r="N48" s="3" t="s">
        <v>64</v>
      </c>
      <c r="O48" s="3" t="s">
        <v>64</v>
      </c>
      <c r="P48" s="3" t="s">
        <v>64</v>
      </c>
      <c r="Q48" s="3" t="s">
        <v>64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64</v>
      </c>
      <c r="W48" s="3" t="s">
        <v>64</v>
      </c>
      <c r="X48" s="3" t="s">
        <v>64</v>
      </c>
      <c r="Y48" s="3"/>
      <c r="Z48" s="3"/>
      <c r="AA48" s="2" t="e">
        <f t="shared" si="0"/>
        <v>#N/A</v>
      </c>
      <c r="AB48" s="1" t="e">
        <v>#N/A</v>
      </c>
      <c r="AC48" s="1" t="e">
        <v>#N/A</v>
      </c>
    </row>
    <row r="49" spans="2:29" x14ac:dyDescent="0.2">
      <c r="B49" s="3" t="s">
        <v>208</v>
      </c>
      <c r="C49" s="3" t="s">
        <v>235</v>
      </c>
      <c r="D49" s="3" t="s">
        <v>236</v>
      </c>
      <c r="E49" s="3" t="s">
        <v>64</v>
      </c>
      <c r="F49" s="3" t="s">
        <v>237</v>
      </c>
      <c r="G49" s="3" t="s">
        <v>238</v>
      </c>
      <c r="H49" s="3" t="s">
        <v>64</v>
      </c>
      <c r="I49" s="3">
        <v>64704</v>
      </c>
      <c r="J49" s="3">
        <v>8088</v>
      </c>
      <c r="K49" s="3">
        <v>0.25719999999999998</v>
      </c>
      <c r="L49" s="3">
        <v>2.0802299999999998</v>
      </c>
      <c r="M49" s="3">
        <v>4</v>
      </c>
      <c r="N49" s="3">
        <v>0.1908</v>
      </c>
      <c r="O49" s="3">
        <v>11.5</v>
      </c>
      <c r="P49" s="3">
        <v>0.54869999999999997</v>
      </c>
      <c r="Q49" s="3">
        <v>15.5</v>
      </c>
      <c r="R49" s="3">
        <v>0.73950000000000005</v>
      </c>
      <c r="S49" s="3">
        <v>4</v>
      </c>
      <c r="T49" s="3">
        <v>0.1908</v>
      </c>
      <c r="U49" s="3">
        <v>11.5</v>
      </c>
      <c r="V49" s="3">
        <v>0.54969999999999997</v>
      </c>
      <c r="W49" s="3">
        <v>4</v>
      </c>
      <c r="X49" s="3">
        <v>0.1908</v>
      </c>
      <c r="Y49" s="3"/>
      <c r="Z49" s="3"/>
      <c r="AA49" s="2" t="e">
        <f t="shared" si="0"/>
        <v>#N/A</v>
      </c>
      <c r="AB49" s="1" t="e">
        <v>#N/A</v>
      </c>
      <c r="AC49" s="1" t="e">
        <v>#N/A</v>
      </c>
    </row>
    <row r="50" spans="2:29" x14ac:dyDescent="0.2">
      <c r="B50" s="3" t="s">
        <v>208</v>
      </c>
      <c r="C50" s="3" t="s">
        <v>239</v>
      </c>
      <c r="D50" s="3" t="s">
        <v>240</v>
      </c>
      <c r="E50" s="3" t="s">
        <v>137</v>
      </c>
      <c r="F50" s="3" t="s">
        <v>241</v>
      </c>
      <c r="G50" s="3" t="s">
        <v>242</v>
      </c>
      <c r="H50" s="3" t="s">
        <v>64</v>
      </c>
      <c r="I50" s="3">
        <v>42660</v>
      </c>
      <c r="J50" s="3">
        <v>2133</v>
      </c>
      <c r="K50" s="3">
        <v>0.60719999999999996</v>
      </c>
      <c r="L50" s="3">
        <v>1.29515</v>
      </c>
      <c r="M50" s="3" t="s">
        <v>64</v>
      </c>
      <c r="N50" s="3" t="s">
        <v>64</v>
      </c>
      <c r="O50" s="3" t="s">
        <v>64</v>
      </c>
      <c r="P50" s="3" t="s">
        <v>64</v>
      </c>
      <c r="Q50" s="3" t="s">
        <v>64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64</v>
      </c>
      <c r="W50" s="3" t="s">
        <v>64</v>
      </c>
      <c r="X50" s="3" t="s">
        <v>64</v>
      </c>
      <c r="Y50" s="3"/>
      <c r="Z50" s="3"/>
      <c r="AA50" s="2" t="e">
        <f t="shared" si="0"/>
        <v>#N/A</v>
      </c>
      <c r="AB50" s="1" t="e">
        <v>#N/A</v>
      </c>
      <c r="AC50" s="1" t="e">
        <v>#N/A</v>
      </c>
    </row>
    <row r="51" spans="2:29" x14ac:dyDescent="0.2">
      <c r="B51" s="3" t="s">
        <v>208</v>
      </c>
      <c r="C51" s="3" t="s">
        <v>243</v>
      </c>
      <c r="D51" s="3" t="s">
        <v>244</v>
      </c>
      <c r="E51" s="3" t="s">
        <v>137</v>
      </c>
      <c r="F51" s="3" t="s">
        <v>245</v>
      </c>
      <c r="G51" s="3" t="s">
        <v>246</v>
      </c>
      <c r="H51" s="3" t="s">
        <v>64</v>
      </c>
      <c r="I51" s="3">
        <v>19904</v>
      </c>
      <c r="J51" s="3">
        <v>2488</v>
      </c>
      <c r="K51" s="3">
        <v>0.59489999999999998</v>
      </c>
      <c r="L51" s="3">
        <v>1.48011</v>
      </c>
      <c r="M51" s="3">
        <v>3</v>
      </c>
      <c r="N51" s="3">
        <v>0.20150000000000001</v>
      </c>
      <c r="O51" s="3">
        <v>5.5</v>
      </c>
      <c r="P51" s="3">
        <v>0.36940000000000001</v>
      </c>
      <c r="Q51" s="3">
        <v>8.5</v>
      </c>
      <c r="R51" s="3">
        <v>0.57099999999999995</v>
      </c>
      <c r="S51" s="3">
        <v>0</v>
      </c>
      <c r="T51" s="3">
        <v>0</v>
      </c>
      <c r="U51" s="3">
        <v>8.5</v>
      </c>
      <c r="V51" s="3">
        <v>0.57099999999999995</v>
      </c>
      <c r="W51" s="3">
        <v>0</v>
      </c>
      <c r="X51" s="3">
        <v>0</v>
      </c>
      <c r="Y51" s="3"/>
      <c r="Z51" s="3"/>
      <c r="AA51" s="2" t="e">
        <f t="shared" si="0"/>
        <v>#N/A</v>
      </c>
      <c r="AB51" s="1" t="e">
        <v>#N/A</v>
      </c>
      <c r="AC51" s="1" t="e">
        <v>#N/A</v>
      </c>
    </row>
    <row r="52" spans="2:29" x14ac:dyDescent="0.2">
      <c r="B52" s="3" t="s">
        <v>208</v>
      </c>
      <c r="C52" s="3" t="s">
        <v>247</v>
      </c>
      <c r="D52" s="3" t="s">
        <v>248</v>
      </c>
      <c r="E52" s="3" t="s">
        <v>64</v>
      </c>
      <c r="F52" s="3" t="s">
        <v>245</v>
      </c>
      <c r="G52" s="3" t="s">
        <v>246</v>
      </c>
      <c r="H52" s="3" t="s">
        <v>64</v>
      </c>
      <c r="I52" s="3">
        <v>26720</v>
      </c>
      <c r="J52" s="3">
        <v>1336</v>
      </c>
      <c r="K52" s="3">
        <v>1.446</v>
      </c>
      <c r="L52" s="3">
        <v>1.9318500000000001</v>
      </c>
      <c r="M52" s="3">
        <v>12</v>
      </c>
      <c r="N52" s="3">
        <v>0.61040000000000005</v>
      </c>
      <c r="O52" s="3">
        <v>22</v>
      </c>
      <c r="P52" s="3">
        <v>1.1191</v>
      </c>
      <c r="Q52" s="3">
        <v>34</v>
      </c>
      <c r="R52" s="3">
        <v>1.7295</v>
      </c>
      <c r="S52" s="3">
        <v>7</v>
      </c>
      <c r="T52" s="3">
        <v>0.35599999999999998</v>
      </c>
      <c r="U52" s="3">
        <v>27</v>
      </c>
      <c r="V52" s="3">
        <v>1.3783000000000001</v>
      </c>
      <c r="W52" s="3">
        <v>7</v>
      </c>
      <c r="X52" s="3">
        <v>0.35599999999999998</v>
      </c>
      <c r="Y52" s="3"/>
      <c r="Z52" s="3"/>
      <c r="AA52" s="2">
        <v>0</v>
      </c>
      <c r="AB52" s="1">
        <v>0</v>
      </c>
      <c r="AC52" s="1">
        <v>0</v>
      </c>
    </row>
    <row r="53" spans="2:29" x14ac:dyDescent="0.2">
      <c r="B53" s="6" t="s">
        <v>208</v>
      </c>
      <c r="C53" s="6" t="s">
        <v>28</v>
      </c>
      <c r="D53" s="6" t="s">
        <v>64</v>
      </c>
      <c r="E53" s="6" t="s">
        <v>64</v>
      </c>
      <c r="F53" s="6" t="s">
        <v>64</v>
      </c>
      <c r="G53" s="6" t="s">
        <v>64</v>
      </c>
      <c r="H53" s="6" t="s">
        <v>249</v>
      </c>
      <c r="I53" s="6">
        <v>1579132</v>
      </c>
      <c r="J53" s="6">
        <v>97929</v>
      </c>
      <c r="K53" s="6" t="s">
        <v>64</v>
      </c>
      <c r="L53" s="6">
        <v>50.217449999999999</v>
      </c>
      <c r="M53" s="6">
        <v>489</v>
      </c>
      <c r="N53" s="6">
        <v>0.96260000000000001</v>
      </c>
      <c r="O53" s="6">
        <v>90.5</v>
      </c>
      <c r="P53" s="6">
        <v>0.17810000000000001</v>
      </c>
      <c r="Q53" s="6">
        <v>579.5</v>
      </c>
      <c r="R53" s="6">
        <v>1.1408</v>
      </c>
      <c r="S53" s="6">
        <v>412.5</v>
      </c>
      <c r="T53" s="6">
        <v>0.81200000000000006</v>
      </c>
      <c r="U53" s="6">
        <v>167</v>
      </c>
      <c r="V53" s="6">
        <v>0.33139999999999997</v>
      </c>
      <c r="W53" s="6">
        <v>412.5</v>
      </c>
      <c r="X53" s="3">
        <v>0.81200000000000006</v>
      </c>
      <c r="Y53" s="3"/>
      <c r="Z53" s="3"/>
      <c r="AA53" s="2" t="e">
        <f t="shared" si="0"/>
        <v>#REF!</v>
      </c>
      <c r="AB53" s="1" t="e">
        <v>#REF!</v>
      </c>
      <c r="AC53" s="1" t="e">
        <v>#REF!</v>
      </c>
    </row>
    <row r="54" spans="2:29" x14ac:dyDescent="0.2">
      <c r="B54" s="3" t="s">
        <v>250</v>
      </c>
      <c r="C54" s="3" t="s">
        <v>251</v>
      </c>
      <c r="D54" s="3" t="s">
        <v>252</v>
      </c>
      <c r="E54" s="3" t="s">
        <v>64</v>
      </c>
      <c r="F54" s="3" t="s">
        <v>253</v>
      </c>
      <c r="G54" s="3" t="s">
        <v>254</v>
      </c>
      <c r="H54" s="3" t="s">
        <v>64</v>
      </c>
      <c r="I54" s="3">
        <v>256864</v>
      </c>
      <c r="J54" s="3">
        <v>256864</v>
      </c>
      <c r="K54" s="3">
        <v>6.0999999999999999E-2</v>
      </c>
      <c r="L54" s="3">
        <v>15.668699999999999</v>
      </c>
      <c r="M54" s="3">
        <v>465</v>
      </c>
      <c r="N54" s="3">
        <v>2.7946</v>
      </c>
      <c r="O54" s="3">
        <v>505</v>
      </c>
      <c r="P54" s="3">
        <v>3.0350000000000001</v>
      </c>
      <c r="Q54" s="3">
        <v>970</v>
      </c>
      <c r="R54" s="3">
        <v>5.8296999999999999</v>
      </c>
      <c r="S54" s="3">
        <v>168</v>
      </c>
      <c r="T54" s="3">
        <v>1.0096000000000001</v>
      </c>
      <c r="U54" s="3">
        <v>802</v>
      </c>
      <c r="V54" s="3">
        <v>4.8692000000000002</v>
      </c>
      <c r="W54" s="3">
        <v>168</v>
      </c>
      <c r="X54" s="3">
        <v>1.0096000000000001</v>
      </c>
      <c r="Y54" s="3"/>
      <c r="Z54" s="3"/>
      <c r="AA54" s="2" t="e">
        <f t="shared" si="0"/>
        <v>#N/A</v>
      </c>
      <c r="AB54" s="1" t="e">
        <v>#N/A</v>
      </c>
      <c r="AC54" s="1" t="e">
        <v>#N/A</v>
      </c>
    </row>
    <row r="55" spans="2:29" x14ac:dyDescent="0.2">
      <c r="B55" s="6" t="s">
        <v>250</v>
      </c>
      <c r="C55" s="6" t="s">
        <v>28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3"/>
      <c r="Y55" s="3"/>
      <c r="Z55" s="3"/>
      <c r="AA55" s="2" t="e">
        <f t="shared" si="0"/>
        <v>#REF!</v>
      </c>
      <c r="AB55" s="1" t="e">
        <v>#REF!</v>
      </c>
      <c r="AC55" s="1" t="e">
        <v>#REF!</v>
      </c>
    </row>
    <row r="56" spans="2:29" x14ac:dyDescent="0.2">
      <c r="B56" s="6" t="s">
        <v>255</v>
      </c>
      <c r="C56" s="6" t="s">
        <v>28</v>
      </c>
      <c r="D56" s="6" t="s">
        <v>64</v>
      </c>
      <c r="E56" s="3"/>
      <c r="F56" s="6" t="s">
        <v>64</v>
      </c>
      <c r="G56" s="6" t="s">
        <v>64</v>
      </c>
      <c r="H56" s="6" t="s">
        <v>256</v>
      </c>
      <c r="I56" s="11" t="s">
        <v>257</v>
      </c>
      <c r="J56" s="6" t="s">
        <v>258</v>
      </c>
      <c r="K56" s="6" t="s">
        <v>64</v>
      </c>
      <c r="L56" s="6">
        <v>472.51</v>
      </c>
      <c r="M56" s="6">
        <v>4981.71</v>
      </c>
      <c r="N56" s="8">
        <v>1.0363</v>
      </c>
      <c r="O56" s="6">
        <v>3222.5</v>
      </c>
      <c r="P56" s="8">
        <v>0.6704</v>
      </c>
      <c r="Q56" s="6">
        <v>8204.2099999999991</v>
      </c>
      <c r="R56" s="6">
        <v>1.7067000000000001</v>
      </c>
      <c r="S56" s="6">
        <v>1648.5</v>
      </c>
      <c r="T56" s="6">
        <v>0.34289999999999998</v>
      </c>
      <c r="U56" s="6">
        <v>5211.5</v>
      </c>
      <c r="V56" s="6">
        <v>1.0909</v>
      </c>
      <c r="W56" s="6">
        <v>2992.71</v>
      </c>
      <c r="X56" s="3">
        <v>0.62250000000000005</v>
      </c>
      <c r="Y56" s="3"/>
      <c r="Z56" s="3"/>
      <c r="AA56" s="2" t="e">
        <f>SUM(AA3:AA55)</f>
        <v>#N/A</v>
      </c>
      <c r="AB56" s="1" t="e">
        <v>#REF!</v>
      </c>
      <c r="AC56" s="1" t="e">
        <v>#REF!</v>
      </c>
    </row>
    <row r="57" spans="2:29" x14ac:dyDescent="0.2">
      <c r="W57" s="10">
        <f>W56/Q56</f>
        <v>0.36477735211556023</v>
      </c>
    </row>
  </sheetData>
  <mergeCells count="6">
    <mergeCell ref="W1:X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8643-09B9-40CE-AC5D-84469CD2B631}">
  <sheetPr>
    <tabColor theme="9" tint="-0.249977111117893"/>
  </sheetPr>
  <dimension ref="B2:Z8"/>
  <sheetViews>
    <sheetView showGridLines="0" workbookViewId="0"/>
  </sheetViews>
  <sheetFormatPr baseColWidth="10" defaultColWidth="10.625" defaultRowHeight="17.25" x14ac:dyDescent="0.3"/>
  <cols>
    <col min="1" max="1" width="5.625" style="16" customWidth="1"/>
    <col min="2" max="2" width="1.875" style="16" bestFit="1" customWidth="1"/>
    <col min="3" max="3" width="5" style="16" bestFit="1" customWidth="1"/>
    <col min="4" max="4" width="12.625" style="16" customWidth="1"/>
    <col min="5" max="5" width="12.875" style="16" bestFit="1" customWidth="1"/>
    <col min="6" max="6" width="6.625" style="16" bestFit="1" customWidth="1"/>
    <col min="7" max="7" width="6.5" style="16" bestFit="1" customWidth="1"/>
    <col min="8" max="8" width="12.875" style="16" bestFit="1" customWidth="1"/>
    <col min="9" max="9" width="9" style="16" bestFit="1" customWidth="1"/>
    <col min="10" max="10" width="8.375" style="16" bestFit="1" customWidth="1"/>
    <col min="11" max="11" width="9.5" style="16" bestFit="1" customWidth="1"/>
    <col min="12" max="12" width="11.125" style="16" customWidth="1"/>
    <col min="13" max="13" width="5.25" style="16" customWidth="1"/>
    <col min="14" max="14" width="9.5" style="16" bestFit="1" customWidth="1"/>
    <col min="15" max="15" width="10" style="16" customWidth="1"/>
    <col min="16" max="16" width="7.875" style="16" bestFit="1" customWidth="1"/>
    <col min="17" max="17" width="9.625" style="16" customWidth="1"/>
    <col min="18" max="19" width="10.625" style="16" customWidth="1"/>
    <col min="20" max="20" width="10.875" style="25" customWidth="1"/>
    <col min="21" max="22" width="4.875" style="16" bestFit="1" customWidth="1"/>
    <col min="23" max="24" width="8.625" style="16" bestFit="1" customWidth="1"/>
    <col min="25" max="25" width="7.375" style="16" bestFit="1" customWidth="1"/>
    <col min="26" max="16384" width="10.625" style="16"/>
  </cols>
  <sheetData>
    <row r="2" spans="2:26" ht="39.950000000000003" customHeight="1" x14ac:dyDescent="0.3">
      <c r="B2" s="18" t="s">
        <v>0</v>
      </c>
      <c r="C2" s="18" t="s">
        <v>1</v>
      </c>
      <c r="D2" s="19" t="s">
        <v>2</v>
      </c>
      <c r="E2" s="19" t="s">
        <v>3</v>
      </c>
      <c r="F2" s="19" t="s">
        <v>4</v>
      </c>
      <c r="G2" s="19" t="s">
        <v>5</v>
      </c>
      <c r="H2" s="19" t="s">
        <v>6</v>
      </c>
      <c r="I2" s="19" t="s">
        <v>7</v>
      </c>
      <c r="J2" s="19" t="s">
        <v>8</v>
      </c>
      <c r="K2" s="19" t="s">
        <v>9</v>
      </c>
      <c r="L2" s="19" t="s">
        <v>10</v>
      </c>
      <c r="M2" s="19" t="s">
        <v>11</v>
      </c>
      <c r="N2" s="19" t="s">
        <v>12</v>
      </c>
      <c r="O2" s="19" t="s">
        <v>13</v>
      </c>
      <c r="P2" s="19" t="s">
        <v>14</v>
      </c>
      <c r="Q2" s="19" t="s">
        <v>15</v>
      </c>
      <c r="R2" s="19" t="s">
        <v>16</v>
      </c>
      <c r="S2" s="19" t="s">
        <v>17</v>
      </c>
      <c r="T2" s="20" t="s">
        <v>18</v>
      </c>
      <c r="U2" s="19" t="s">
        <v>19</v>
      </c>
      <c r="V2" s="19" t="s">
        <v>20</v>
      </c>
      <c r="W2" s="19" t="s">
        <v>21</v>
      </c>
      <c r="X2" s="19" t="s">
        <v>22</v>
      </c>
      <c r="Y2" s="21" t="s">
        <v>23</v>
      </c>
      <c r="Z2" s="42" t="s">
        <v>24</v>
      </c>
    </row>
    <row r="3" spans="2:26" x14ac:dyDescent="0.3">
      <c r="B3" s="22">
        <v>1</v>
      </c>
      <c r="C3" s="22"/>
      <c r="D3" s="22" t="str">
        <f>'OEE2'!D3</f>
        <v>Pan bolleria</v>
      </c>
      <c r="E3" s="23">
        <f>'OEE2'!E3</f>
        <v>168</v>
      </c>
      <c r="F3" s="23">
        <f>'OEE2'!F3</f>
        <v>104.27</v>
      </c>
      <c r="G3" s="23">
        <f>'OEE2'!G3</f>
        <v>10.1</v>
      </c>
      <c r="H3" s="23">
        <f>'OEE2'!H3</f>
        <v>0</v>
      </c>
      <c r="I3" s="24">
        <f>E3-F3-G3-H3</f>
        <v>53.63</v>
      </c>
      <c r="J3" s="23">
        <f>'OEE2'!J3</f>
        <v>1.54</v>
      </c>
      <c r="K3" s="23">
        <f>'OEE2'!K3</f>
        <v>0.6</v>
      </c>
      <c r="L3" s="23">
        <f>'OEE2'!L3</f>
        <v>0.55000000000000004</v>
      </c>
      <c r="M3" s="23">
        <f>'OEE2'!M3</f>
        <v>0.79</v>
      </c>
      <c r="N3" s="23">
        <f>'OEE2'!N3</f>
        <v>1.56</v>
      </c>
      <c r="O3" s="24">
        <f>'OEE2'!O3</f>
        <v>0.32</v>
      </c>
      <c r="P3" s="23">
        <v>0</v>
      </c>
      <c r="Q3" s="24">
        <f>IFERROR(I3-(SUM(J3:P3))," ")</f>
        <v>48.27</v>
      </c>
      <c r="R3" s="24">
        <f>IFERROR(I3/E3*100," ")</f>
        <v>31.922619047619051</v>
      </c>
      <c r="S3" s="24">
        <f>IFERROR(Q3/I3*100," ")</f>
        <v>90.005593884020143</v>
      </c>
      <c r="T3" s="24">
        <f>IFERROR(X3/W3*100," ")</f>
        <v>95.97452229299364</v>
      </c>
      <c r="U3" s="23">
        <f>IFERROR(((R3/100)*(S3/100)*(T3/100))*100," ")</f>
        <v>27.575536851683353</v>
      </c>
      <c r="V3" s="23">
        <f>IFERROR(((S3/100)*(T3/100))*100," ")</f>
        <v>86.382438767160224</v>
      </c>
      <c r="W3" s="23">
        <f>'OEE2'!W3</f>
        <v>157</v>
      </c>
      <c r="X3" s="23">
        <f>'OEE2'!X3</f>
        <v>150.68</v>
      </c>
      <c r="Y3" s="43">
        <f>IFERROR(L3/I3*100," ")</f>
        <v>1.0255454036919636</v>
      </c>
      <c r="Z3" s="43">
        <f>IFERROR(SUM(J3:P3)," ")</f>
        <v>5.3600000000000012</v>
      </c>
    </row>
    <row r="4" spans="2:26" x14ac:dyDescent="0.3">
      <c r="B4" s="22">
        <v>2</v>
      </c>
      <c r="C4" s="22"/>
      <c r="D4" s="22" t="str">
        <f>'OEE2'!D4</f>
        <v>Panqueleria</v>
      </c>
      <c r="E4" s="23">
        <f>'OEE2'!E4</f>
        <v>168</v>
      </c>
      <c r="F4" s="23">
        <f>'OEE2'!F4</f>
        <v>126.59</v>
      </c>
      <c r="G4" s="23">
        <f>'OEE2'!G4</f>
        <v>0</v>
      </c>
      <c r="H4" s="23">
        <f>'OEE2'!H4</f>
        <v>0</v>
      </c>
      <c r="I4" s="24">
        <f t="shared" ref="I4:I6" si="0">E4-F4-G4-H4</f>
        <v>41.41</v>
      </c>
      <c r="J4" s="23">
        <f>'OEE2'!J4</f>
        <v>0</v>
      </c>
      <c r="K4" s="23">
        <f>'OEE2'!K4</f>
        <v>0</v>
      </c>
      <c r="L4" s="23">
        <f>'OEE2'!L4</f>
        <v>0</v>
      </c>
      <c r="M4" s="23">
        <f>'OEE2'!M4</f>
        <v>0</v>
      </c>
      <c r="N4" s="23">
        <f>'OEE2'!N4</f>
        <v>6.9989999999999997E-2</v>
      </c>
      <c r="O4" s="24">
        <f>'OEE2'!O4</f>
        <v>0.14000000000000001</v>
      </c>
      <c r="P4" s="23">
        <f>'OEE2'!P4</f>
        <v>0</v>
      </c>
      <c r="Q4" s="24">
        <f t="shared" ref="Q4:Q6" si="1">IFERROR(I4-(SUM(J4:P4))," ")</f>
        <v>41.200009999999999</v>
      </c>
      <c r="R4" s="24">
        <f t="shared" ref="R4:R6" si="2">IFERROR(I4/E4*100," ")</f>
        <v>24.648809523809522</v>
      </c>
      <c r="S4" s="24">
        <f t="shared" ref="S4:S6" si="3">IFERROR(Q4/I4*100," ")</f>
        <v>99.492900265636337</v>
      </c>
      <c r="T4" s="24">
        <f t="shared" ref="T4:T6" si="4">IFERROR(X4/W4*100," ")</f>
        <v>98.158415841584159</v>
      </c>
      <c r="U4" s="23">
        <f t="shared" ref="U4:U6" si="5">IFERROR(((R4/100)*(S4/100)*(T4/100))*100," ")</f>
        <v>24.072188775341825</v>
      </c>
      <c r="V4" s="23">
        <f t="shared" ref="V4:V6" si="6">IFERROR(((S4/100)*(T4/100))*100," ")</f>
        <v>97.660654775595916</v>
      </c>
      <c r="W4" s="23">
        <f>'OEE2'!W4</f>
        <v>101</v>
      </c>
      <c r="X4" s="23">
        <f>'OEE2'!X4</f>
        <v>99.14</v>
      </c>
      <c r="Y4" s="43">
        <f t="shared" ref="Y4:Y6" si="7">IFERROR(L4/I4*100," ")</f>
        <v>0</v>
      </c>
      <c r="Z4" s="43">
        <f t="shared" ref="Z4:Z6" si="8">IFERROR(SUM(J4:P4)," ")</f>
        <v>0.20999000000000001</v>
      </c>
    </row>
    <row r="5" spans="2:26" x14ac:dyDescent="0.3">
      <c r="B5" s="22">
        <v>3</v>
      </c>
      <c r="C5" s="22"/>
      <c r="D5" s="22" t="str">
        <f>'OEE2'!D5</f>
        <v>Tortillas</v>
      </c>
      <c r="E5" s="23">
        <f>'OEE2'!E5</f>
        <v>168</v>
      </c>
      <c r="F5" s="23">
        <f>'OEE2'!F5</f>
        <v>84.68</v>
      </c>
      <c r="G5" s="23">
        <f>'OEE2'!G5</f>
        <v>0</v>
      </c>
      <c r="H5" s="23">
        <f>'OEE2'!H5</f>
        <v>0</v>
      </c>
      <c r="I5" s="24">
        <f t="shared" si="0"/>
        <v>83.32</v>
      </c>
      <c r="J5" s="23">
        <f>'OEE2'!J5</f>
        <v>0</v>
      </c>
      <c r="K5" s="23">
        <f>'OEE2'!K5</f>
        <v>0.06</v>
      </c>
      <c r="L5" s="23">
        <f>'OEE2'!L5</f>
        <v>0</v>
      </c>
      <c r="M5" s="23">
        <f>'OEE2'!M5</f>
        <v>0.18</v>
      </c>
      <c r="N5" s="23">
        <f>'OEE2'!N5</f>
        <v>0.28999999999999998</v>
      </c>
      <c r="O5" s="24">
        <f>'OEE2'!O5</f>
        <v>0.08</v>
      </c>
      <c r="P5" s="23">
        <f>'OEE2'!P5</f>
        <v>0</v>
      </c>
      <c r="Q5" s="24">
        <f t="shared" si="1"/>
        <v>82.71</v>
      </c>
      <c r="R5" s="24">
        <f t="shared" si="2"/>
        <v>49.595238095238095</v>
      </c>
      <c r="S5" s="24">
        <f t="shared" si="3"/>
        <v>99.267882861257803</v>
      </c>
      <c r="T5" s="24">
        <f>IFERROR(X5/W5*100," ")</f>
        <v>97.582474226804123</v>
      </c>
      <c r="U5" s="23">
        <f t="shared" si="5"/>
        <v>48.041943114874819</v>
      </c>
      <c r="V5" s="23">
        <f t="shared" si="6"/>
        <v>96.86805620858101</v>
      </c>
      <c r="W5" s="23">
        <f>'OEE2'!W5</f>
        <v>194</v>
      </c>
      <c r="X5" s="23">
        <f>'OEE2'!X5</f>
        <v>189.31</v>
      </c>
      <c r="Y5" s="43">
        <f t="shared" si="7"/>
        <v>0</v>
      </c>
      <c r="Z5" s="43">
        <f t="shared" si="8"/>
        <v>0.61</v>
      </c>
    </row>
    <row r="6" spans="2:26" x14ac:dyDescent="0.3">
      <c r="B6" s="22"/>
      <c r="C6" s="22"/>
      <c r="D6" s="22" t="s">
        <v>28</v>
      </c>
      <c r="E6" s="23">
        <f>'OEE2'!E6</f>
        <v>504</v>
      </c>
      <c r="F6" s="23">
        <f>'OEE2'!F6</f>
        <v>315.52999999999997</v>
      </c>
      <c r="G6" s="23">
        <f>'OEE2'!G6</f>
        <v>10.1</v>
      </c>
      <c r="H6" s="23">
        <f>'OEE2'!H6</f>
        <v>0</v>
      </c>
      <c r="I6" s="24">
        <f t="shared" si="0"/>
        <v>178.37000000000003</v>
      </c>
      <c r="J6" s="23">
        <f>'OEE2'!J6</f>
        <v>1.54</v>
      </c>
      <c r="K6" s="23">
        <f>'OEE2'!K6</f>
        <v>0.66</v>
      </c>
      <c r="L6" s="23">
        <f>'OEE2'!L6</f>
        <v>0.55000000000000004</v>
      </c>
      <c r="M6" s="23">
        <f>'OEE2'!M6</f>
        <v>0.97</v>
      </c>
      <c r="N6" s="23">
        <f>'OEE2'!N6</f>
        <v>1.92</v>
      </c>
      <c r="O6" s="24">
        <f>'OEE2'!O6</f>
        <v>0.54</v>
      </c>
      <c r="P6" s="23">
        <v>0</v>
      </c>
      <c r="Q6" s="24">
        <f t="shared" si="1"/>
        <v>172.19000000000003</v>
      </c>
      <c r="R6" s="24">
        <f t="shared" si="2"/>
        <v>35.390873015873019</v>
      </c>
      <c r="S6" s="24">
        <f t="shared" si="3"/>
        <v>96.535291809160725</v>
      </c>
      <c r="T6" s="24">
        <f t="shared" si="4"/>
        <v>97.154867256637161</v>
      </c>
      <c r="U6" s="23">
        <f t="shared" si="5"/>
        <v>33.192651970080064</v>
      </c>
      <c r="V6" s="23">
        <f t="shared" si="6"/>
        <v>93.78873461299743</v>
      </c>
      <c r="W6" s="23">
        <f>'OEE2'!W6</f>
        <v>452</v>
      </c>
      <c r="X6" s="23">
        <f>'OEE2'!X6</f>
        <v>439.14</v>
      </c>
      <c r="Y6" s="43">
        <f t="shared" si="7"/>
        <v>0.3083478163368279</v>
      </c>
      <c r="Z6" s="43">
        <f t="shared" si="8"/>
        <v>6.18</v>
      </c>
    </row>
    <row r="7" spans="2:26" x14ac:dyDescent="0.3">
      <c r="Q7" s="25"/>
    </row>
    <row r="8" spans="2:26" x14ac:dyDescent="0.3">
      <c r="E8" s="41">
        <f>E6-'OEE2'!E6</f>
        <v>0</v>
      </c>
      <c r="F8" s="41">
        <f>F6-'OEE2'!F6</f>
        <v>0</v>
      </c>
      <c r="G8" s="41">
        <f>G6-'OEE2'!G6</f>
        <v>0</v>
      </c>
      <c r="H8" s="41">
        <f>H6-'OEE2'!H6</f>
        <v>0</v>
      </c>
      <c r="I8" s="41">
        <f>I6-'OEE2'!I6</f>
        <v>1.0000000000019327E-2</v>
      </c>
      <c r="J8" s="41">
        <f>J6-'OEE2'!J6</f>
        <v>0</v>
      </c>
      <c r="K8" s="41">
        <f>K6-'OEE2'!K6</f>
        <v>0</v>
      </c>
      <c r="L8" s="41">
        <f>L6-'OEE2'!L6</f>
        <v>0</v>
      </c>
      <c r="M8" s="41">
        <f>M6-'OEE2'!M6</f>
        <v>0</v>
      </c>
      <c r="N8" s="41">
        <f>N6-'OEE2'!N6</f>
        <v>0</v>
      </c>
      <c r="O8" s="41">
        <f>O6-'OEE2'!O6</f>
        <v>0</v>
      </c>
      <c r="P8" s="41">
        <f>P6-'OEE2'!P6</f>
        <v>0</v>
      </c>
      <c r="Q8" s="41">
        <f>Q6-'OEE2'!Q6</f>
        <v>1.0000000000019327E-2</v>
      </c>
      <c r="R8" s="41">
        <f>R6-'OEE2'!R6</f>
        <v>1.0873015873016811E-2</v>
      </c>
      <c r="S8" s="41">
        <f>S6-'OEE2'!S6</f>
        <v>5.2918091607239148E-3</v>
      </c>
      <c r="T8" s="41">
        <f>T6-'OEE2'!T6</f>
        <v>4.8672566371550374E-3</v>
      </c>
      <c r="U8" s="41">
        <f>U6-'OEE2'!U6</f>
        <v>2.6519700800662349E-3</v>
      </c>
      <c r="V8" s="41">
        <f>V6-'OEE2'!V6</f>
        <v>8.7346129974292808E-3</v>
      </c>
      <c r="W8" s="41">
        <f>W6-'OEE2'!W6</f>
        <v>0</v>
      </c>
      <c r="X8" s="41">
        <f>X6-'OEE2'!X6</f>
        <v>0</v>
      </c>
      <c r="Y8" s="41">
        <f>Y6-'OEE2'!Y6</f>
        <v>-1.7287946643740337E-5</v>
      </c>
      <c r="Z8" s="41">
        <f>Z6-'OEE2'!Z6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8EFA-DB99-4BF4-8DF4-6AB90B180172}">
  <sheetPr>
    <tabColor rgb="FF002060"/>
  </sheetPr>
  <dimension ref="A1:AE61"/>
  <sheetViews>
    <sheetView showGridLines="0" zoomScale="90" zoomScaleNormal="90" workbookViewId="0"/>
  </sheetViews>
  <sheetFormatPr baseColWidth="10" defaultColWidth="10.625" defaultRowHeight="13.5" x14ac:dyDescent="0.25"/>
  <cols>
    <col min="1" max="1" width="6.375" style="27" bestFit="1" customWidth="1"/>
    <col min="2" max="2" width="12.625" style="26" bestFit="1" customWidth="1"/>
    <col min="3" max="3" width="8.5" style="35" bestFit="1" customWidth="1"/>
    <col min="4" max="4" width="37.5" style="26" bestFit="1" customWidth="1"/>
    <col min="5" max="5" width="5.625" style="26" bestFit="1" customWidth="1"/>
    <col min="6" max="6" width="11.875" style="26" bestFit="1" customWidth="1"/>
    <col min="7" max="7" width="36.375" style="26" bestFit="1" customWidth="1"/>
    <col min="8" max="8" width="15.375" style="26" bestFit="1" customWidth="1"/>
    <col min="9" max="10" width="11.625" style="26" bestFit="1" customWidth="1"/>
    <col min="11" max="11" width="7.625" style="26" bestFit="1" customWidth="1"/>
    <col min="12" max="12" width="14.25" style="26" bestFit="1" customWidth="1"/>
    <col min="13" max="13" width="16.125" style="26" bestFit="1" customWidth="1"/>
    <col min="14" max="14" width="18.125" style="26" bestFit="1" customWidth="1"/>
    <col min="15" max="15" width="11.25" style="26" bestFit="1" customWidth="1"/>
    <col min="16" max="16" width="11.625" style="26" bestFit="1" customWidth="1"/>
    <col min="17" max="17" width="9.875" style="26" bestFit="1" customWidth="1"/>
    <col min="18" max="18" width="16.875" style="26" bestFit="1" customWidth="1"/>
    <col min="19" max="19" width="13.125" style="26" bestFit="1" customWidth="1"/>
    <col min="20" max="20" width="11.375" style="26" bestFit="1" customWidth="1"/>
    <col min="21" max="21" width="11.5" style="26" bestFit="1" customWidth="1"/>
    <col min="22" max="22" width="19.875" style="26" bestFit="1" customWidth="1"/>
    <col min="23" max="23" width="12.375" style="26" bestFit="1" customWidth="1"/>
    <col min="24" max="24" width="12.5" style="26" bestFit="1" customWidth="1"/>
    <col min="25" max="25" width="9.75" style="26" customWidth="1"/>
    <col min="26" max="26" width="11.25" style="26" bestFit="1" customWidth="1"/>
    <col min="27" max="27" width="7.375" style="26" bestFit="1" customWidth="1"/>
    <col min="28" max="28" width="15.625" style="27" bestFit="1" customWidth="1"/>
    <col min="29" max="29" width="7" style="27" bestFit="1" customWidth="1"/>
    <col min="30" max="16384" width="10.625" style="27"/>
  </cols>
  <sheetData>
    <row r="1" spans="1:29" ht="114.95" customHeight="1" x14ac:dyDescent="0.25">
      <c r="M1" s="120" t="s">
        <v>29</v>
      </c>
      <c r="N1" s="121"/>
      <c r="O1" s="122" t="s">
        <v>30</v>
      </c>
      <c r="P1" s="123"/>
      <c r="Q1" s="120" t="s">
        <v>31</v>
      </c>
      <c r="R1" s="121"/>
      <c r="S1" s="120" t="s">
        <v>32</v>
      </c>
      <c r="T1" s="121"/>
      <c r="U1" s="120" t="s">
        <v>33</v>
      </c>
      <c r="V1" s="121"/>
      <c r="W1" s="120" t="s">
        <v>34</v>
      </c>
      <c r="X1" s="121"/>
    </row>
    <row r="2" spans="1:29" ht="38.1" customHeight="1" x14ac:dyDescent="0.25">
      <c r="B2" s="19" t="s">
        <v>35</v>
      </c>
      <c r="C2" s="36" t="s">
        <v>36</v>
      </c>
      <c r="D2" s="19" t="s">
        <v>37</v>
      </c>
      <c r="E2" s="19" t="s">
        <v>38</v>
      </c>
      <c r="F2" s="19" t="s">
        <v>39</v>
      </c>
      <c r="G2" s="19" t="s">
        <v>40</v>
      </c>
      <c r="H2" s="19" t="s">
        <v>41</v>
      </c>
      <c r="I2" s="19" t="s">
        <v>42</v>
      </c>
      <c r="J2" s="19" t="s">
        <v>43</v>
      </c>
      <c r="K2" s="19" t="s">
        <v>44</v>
      </c>
      <c r="L2" s="19" t="s">
        <v>45</v>
      </c>
      <c r="M2" s="19" t="s">
        <v>46</v>
      </c>
      <c r="N2" s="19" t="s">
        <v>259</v>
      </c>
      <c r="O2" s="19" t="s">
        <v>48</v>
      </c>
      <c r="P2" s="19" t="s">
        <v>260</v>
      </c>
      <c r="Q2" s="19" t="s">
        <v>50</v>
      </c>
      <c r="R2" s="19" t="s">
        <v>261</v>
      </c>
      <c r="S2" s="19" t="s">
        <v>52</v>
      </c>
      <c r="T2" s="19" t="s">
        <v>53</v>
      </c>
      <c r="U2" s="19" t="s">
        <v>54</v>
      </c>
      <c r="V2" s="19" t="s">
        <v>262</v>
      </c>
      <c r="W2" s="19" t="s">
        <v>56</v>
      </c>
      <c r="X2" s="34" t="s">
        <v>57</v>
      </c>
      <c r="Y2" s="17"/>
      <c r="Z2" s="17"/>
      <c r="AA2" s="21" t="s">
        <v>58</v>
      </c>
      <c r="AB2" s="21" t="s">
        <v>59</v>
      </c>
      <c r="AC2" s="21" t="s">
        <v>60</v>
      </c>
    </row>
    <row r="3" spans="1:29" x14ac:dyDescent="0.25">
      <c r="A3" s="39"/>
      <c r="B3" s="28" t="s">
        <v>61</v>
      </c>
      <c r="C3" s="37">
        <v>987</v>
      </c>
      <c r="D3" s="28" t="s">
        <v>63</v>
      </c>
      <c r="E3" s="28"/>
      <c r="F3" s="28" t="s">
        <v>65</v>
      </c>
      <c r="G3" s="28" t="s">
        <v>66</v>
      </c>
      <c r="H3" s="28">
        <v>29607</v>
      </c>
      <c r="I3" s="28">
        <v>11124</v>
      </c>
      <c r="J3" s="28">
        <v>1854</v>
      </c>
      <c r="K3" s="28">
        <v>0.41799999999999998</v>
      </c>
      <c r="L3" s="28">
        <v>0.77497000000000005</v>
      </c>
      <c r="M3" s="28">
        <v>39</v>
      </c>
      <c r="N3" s="29">
        <v>4.7446000000000002</v>
      </c>
      <c r="O3" s="28">
        <v>8</v>
      </c>
      <c r="P3" s="29">
        <v>0.97319999999999995</v>
      </c>
      <c r="Q3" s="28">
        <v>47</v>
      </c>
      <c r="R3" s="29">
        <v>5.7179000000000002</v>
      </c>
      <c r="S3" s="28">
        <v>18</v>
      </c>
      <c r="T3" s="29">
        <v>2.1898</v>
      </c>
      <c r="U3" s="28">
        <v>29</v>
      </c>
      <c r="V3" s="29">
        <v>3.6070000000000002</v>
      </c>
      <c r="W3" s="28">
        <v>18</v>
      </c>
      <c r="X3" s="29">
        <v>2.1898</v>
      </c>
      <c r="Y3" s="28"/>
      <c r="Z3" s="28"/>
      <c r="AA3" s="26">
        <f>IFERROR(IF(AC3=1,(I3*AC3),(I3*AC3)),0)</f>
        <v>0</v>
      </c>
      <c r="AB3" s="27" t="e">
        <f>_xlfn.XLOOKUP($C:$C,'DT PPM'!$F:$F,'DT PPM'!$D:$D)</f>
        <v>#N/A</v>
      </c>
      <c r="AC3" s="27" t="e">
        <f>VLOOKUP(C3,'DT PPM'!$C$3:$E$1048576,3,0)</f>
        <v>#N/A</v>
      </c>
    </row>
    <row r="4" spans="1:29" x14ac:dyDescent="0.25">
      <c r="A4" s="39"/>
      <c r="B4" s="28" t="s">
        <v>61</v>
      </c>
      <c r="C4" s="37">
        <v>23618</v>
      </c>
      <c r="D4" s="28" t="s">
        <v>69</v>
      </c>
      <c r="E4" s="28" t="s">
        <v>137</v>
      </c>
      <c r="F4" s="28" t="s">
        <v>70</v>
      </c>
      <c r="G4" s="28" t="s">
        <v>71</v>
      </c>
      <c r="H4" s="28" t="s">
        <v>419</v>
      </c>
      <c r="I4" s="28">
        <v>4392</v>
      </c>
      <c r="J4" s="28">
        <v>4392</v>
      </c>
      <c r="K4" s="28">
        <v>0.66659999999999997</v>
      </c>
      <c r="L4" s="28">
        <v>2.9277000000000002</v>
      </c>
      <c r="M4" s="28">
        <v>13</v>
      </c>
      <c r="N4" s="29">
        <v>0.442</v>
      </c>
      <c r="O4" s="28">
        <v>0</v>
      </c>
      <c r="P4" s="29">
        <v>0</v>
      </c>
      <c r="Q4" s="28">
        <v>13</v>
      </c>
      <c r="R4" s="29">
        <v>0.442</v>
      </c>
      <c r="S4" s="28">
        <v>13</v>
      </c>
      <c r="T4" s="29">
        <v>0.442</v>
      </c>
      <c r="U4" s="28">
        <v>0</v>
      </c>
      <c r="V4" s="29">
        <v>0</v>
      </c>
      <c r="W4" s="28">
        <v>13</v>
      </c>
      <c r="X4" s="29">
        <v>0.442</v>
      </c>
      <c r="Y4" s="28"/>
      <c r="Z4" s="28"/>
      <c r="AA4" s="26">
        <f t="shared" ref="AA4:AA59" si="0">IFERROR(IF(AC4=1,(I4*AC4),(I4*AC4)),0)</f>
        <v>0</v>
      </c>
      <c r="AB4" s="27" t="e">
        <f>_xlfn.XLOOKUP($C:$C,'DT PPM'!$F:$F,'DT PPM'!$D:$D)</f>
        <v>#N/A</v>
      </c>
      <c r="AC4" s="27" t="e">
        <f>VLOOKUP(C4,'DT PPM'!$C$3:$E$1048576,3,0)</f>
        <v>#N/A</v>
      </c>
    </row>
    <row r="5" spans="1:29" x14ac:dyDescent="0.25">
      <c r="A5" s="39"/>
      <c r="B5" s="28" t="s">
        <v>61</v>
      </c>
      <c r="C5" s="37">
        <v>23901</v>
      </c>
      <c r="D5" s="28" t="s">
        <v>74</v>
      </c>
      <c r="E5" s="28"/>
      <c r="F5" s="28" t="s">
        <v>75</v>
      </c>
      <c r="G5" s="28" t="s">
        <v>76</v>
      </c>
      <c r="H5" s="28">
        <v>2450.1999999999998</v>
      </c>
      <c r="I5" s="28">
        <v>2717</v>
      </c>
      <c r="J5" s="28">
        <v>2717</v>
      </c>
      <c r="K5" s="28">
        <v>0.51800000000000002</v>
      </c>
      <c r="L5" s="28">
        <v>1.4074</v>
      </c>
      <c r="M5" s="28">
        <v>24</v>
      </c>
      <c r="N5" s="29">
        <v>1.5524</v>
      </c>
      <c r="O5" s="28">
        <v>114.5</v>
      </c>
      <c r="P5" s="29">
        <v>7.4066000000000001</v>
      </c>
      <c r="Q5" s="28">
        <v>138.5</v>
      </c>
      <c r="R5" s="29">
        <v>8.9590999999999994</v>
      </c>
      <c r="S5" s="28">
        <v>0</v>
      </c>
      <c r="T5" s="29">
        <v>0</v>
      </c>
      <c r="U5" s="28">
        <v>138.5</v>
      </c>
      <c r="V5" s="29">
        <v>8.9590999999999994</v>
      </c>
      <c r="W5" s="28">
        <v>0</v>
      </c>
      <c r="X5" s="29">
        <v>0</v>
      </c>
      <c r="Y5" s="28"/>
      <c r="Z5" s="28"/>
      <c r="AA5" s="26">
        <f t="shared" si="0"/>
        <v>0</v>
      </c>
      <c r="AB5" s="27" t="e">
        <f>_xlfn.XLOOKUP($C:$C,'DT PPM'!$F:$F,'DT PPM'!$D:$D)</f>
        <v>#N/A</v>
      </c>
      <c r="AC5" s="27" t="e">
        <f>VLOOKUP(C5,'DT PPM'!$C$3:$E$1048576,3,0)</f>
        <v>#N/A</v>
      </c>
    </row>
    <row r="6" spans="1:29" x14ac:dyDescent="0.25">
      <c r="A6" s="39"/>
      <c r="B6" s="28" t="s">
        <v>61</v>
      </c>
      <c r="C6" s="37">
        <v>26405</v>
      </c>
      <c r="D6" s="28" t="s">
        <v>80</v>
      </c>
      <c r="E6" s="28"/>
      <c r="F6" s="28"/>
      <c r="G6" s="28"/>
      <c r="H6" s="28"/>
      <c r="I6" s="28">
        <v>120</v>
      </c>
      <c r="J6" s="28">
        <v>60</v>
      </c>
      <c r="K6" s="28">
        <v>1.3331</v>
      </c>
      <c r="L6" s="28">
        <v>7.9979999999999996E-2</v>
      </c>
      <c r="M6" s="28"/>
      <c r="N6" s="29"/>
      <c r="O6" s="28"/>
      <c r="P6" s="29"/>
      <c r="Q6" s="28"/>
      <c r="R6" s="29"/>
      <c r="S6" s="28"/>
      <c r="T6" s="29"/>
      <c r="U6" s="28"/>
      <c r="V6" s="29"/>
      <c r="W6" s="28"/>
      <c r="X6" s="29"/>
      <c r="Y6" s="28"/>
      <c r="Z6" s="28"/>
      <c r="AA6" s="26">
        <f t="shared" si="0"/>
        <v>0</v>
      </c>
      <c r="AB6" s="27" t="e">
        <f>_xlfn.XLOOKUP($C:$C,'DT PPM'!$F:$F,'DT PPM'!$D:$D)</f>
        <v>#N/A</v>
      </c>
      <c r="AC6" s="27" t="e">
        <f>VLOOKUP(C6,'DT PPM'!$C$3:$E$1048576,3,0)</f>
        <v>#N/A</v>
      </c>
    </row>
    <row r="7" spans="1:29" x14ac:dyDescent="0.25">
      <c r="A7" s="39"/>
      <c r="B7" s="28" t="s">
        <v>61</v>
      </c>
      <c r="C7" s="37">
        <v>26474</v>
      </c>
      <c r="D7" s="28" t="s">
        <v>82</v>
      </c>
      <c r="E7" s="28"/>
      <c r="F7" s="28" t="s">
        <v>83</v>
      </c>
      <c r="G7" s="28" t="s">
        <v>84</v>
      </c>
      <c r="H7" s="28" t="s">
        <v>431</v>
      </c>
      <c r="I7" s="28">
        <v>2093</v>
      </c>
      <c r="J7" s="28">
        <v>2093</v>
      </c>
      <c r="K7" s="28">
        <v>0.57010000000000005</v>
      </c>
      <c r="L7" s="28">
        <v>1.1932100000000001</v>
      </c>
      <c r="M7" s="28">
        <v>43.56</v>
      </c>
      <c r="N7" s="29">
        <v>3.3826000000000001</v>
      </c>
      <c r="O7" s="28">
        <v>51</v>
      </c>
      <c r="P7" s="29">
        <v>3.9603000000000002</v>
      </c>
      <c r="Q7" s="28">
        <v>94.56</v>
      </c>
      <c r="R7" s="29">
        <v>7.3429000000000002</v>
      </c>
      <c r="S7" s="28">
        <v>90</v>
      </c>
      <c r="T7" s="29">
        <v>6.9888000000000003</v>
      </c>
      <c r="U7" s="28">
        <v>0</v>
      </c>
      <c r="V7" s="29">
        <v>0</v>
      </c>
      <c r="W7" s="28">
        <v>94.56</v>
      </c>
      <c r="X7" s="29">
        <v>7.3429000000000002</v>
      </c>
      <c r="Y7" s="28"/>
      <c r="Z7" s="28"/>
      <c r="AA7" s="26">
        <f t="shared" si="0"/>
        <v>0</v>
      </c>
      <c r="AB7" s="27" t="e">
        <f>_xlfn.XLOOKUP($C:$C,'DT PPM'!$F:$F,'DT PPM'!$D:$D)</f>
        <v>#N/A</v>
      </c>
      <c r="AC7" s="27" t="e">
        <f>VLOOKUP(C7,'DT PPM'!$C$3:$E$1048576,3,0)</f>
        <v>#N/A</v>
      </c>
    </row>
    <row r="8" spans="1:29" x14ac:dyDescent="0.25">
      <c r="A8" s="39"/>
      <c r="B8" s="28" t="s">
        <v>61</v>
      </c>
      <c r="C8" s="37">
        <v>26475</v>
      </c>
      <c r="D8" s="28" t="s">
        <v>87</v>
      </c>
      <c r="E8" s="28"/>
      <c r="F8" s="28" t="s">
        <v>88</v>
      </c>
      <c r="G8" s="28" t="s">
        <v>89</v>
      </c>
      <c r="H8" s="28" t="s">
        <v>421</v>
      </c>
      <c r="I8" s="28">
        <v>4417</v>
      </c>
      <c r="J8" s="28">
        <v>4417</v>
      </c>
      <c r="K8" s="28">
        <v>0.57010000000000005</v>
      </c>
      <c r="L8" s="28">
        <v>2.5181300000000002</v>
      </c>
      <c r="M8" s="28">
        <v>63.93</v>
      </c>
      <c r="N8" s="29">
        <v>2.3643000000000001</v>
      </c>
      <c r="O8" s="28">
        <v>122</v>
      </c>
      <c r="P8" s="29">
        <v>4.5117000000000003</v>
      </c>
      <c r="Q8" s="28">
        <v>185.93</v>
      </c>
      <c r="R8" s="29">
        <v>6.8761000000000001</v>
      </c>
      <c r="S8" s="28">
        <v>125</v>
      </c>
      <c r="T8" s="29">
        <v>4.6226000000000003</v>
      </c>
      <c r="U8" s="28">
        <v>33</v>
      </c>
      <c r="V8" s="29">
        <v>1.2935000000000001</v>
      </c>
      <c r="W8" s="28">
        <v>152.93</v>
      </c>
      <c r="X8" s="29">
        <v>5.6557000000000004</v>
      </c>
      <c r="Y8" s="28"/>
      <c r="Z8" s="28"/>
      <c r="AA8" s="26">
        <f t="shared" si="0"/>
        <v>0</v>
      </c>
      <c r="AB8" s="27" t="e">
        <f>_xlfn.XLOOKUP($C:$C,'DT PPM'!$F:$F,'DT PPM'!$D:$D)</f>
        <v>#N/A</v>
      </c>
      <c r="AC8" s="27" t="e">
        <f>VLOOKUP(C8,'DT PPM'!$C$3:$E$1048576,3,0)</f>
        <v>#N/A</v>
      </c>
    </row>
    <row r="9" spans="1:29" x14ac:dyDescent="0.25">
      <c r="A9" s="39"/>
      <c r="B9" s="28" t="s">
        <v>61</v>
      </c>
      <c r="C9" s="37">
        <v>27031</v>
      </c>
      <c r="D9" s="28" t="s">
        <v>92</v>
      </c>
      <c r="E9" s="28"/>
      <c r="F9" s="28"/>
      <c r="G9" s="28"/>
      <c r="H9" s="28"/>
      <c r="I9" s="28">
        <v>260</v>
      </c>
      <c r="J9" s="28">
        <v>130</v>
      </c>
      <c r="K9" s="28">
        <v>1.036</v>
      </c>
      <c r="L9" s="28">
        <v>0.13467999999999999</v>
      </c>
      <c r="M9" s="28"/>
      <c r="N9" s="29"/>
      <c r="O9" s="28"/>
      <c r="P9" s="29"/>
      <c r="Q9" s="28"/>
      <c r="R9" s="29"/>
      <c r="S9" s="28"/>
      <c r="T9" s="29"/>
      <c r="U9" s="28"/>
      <c r="V9" s="29"/>
      <c r="W9" s="28"/>
      <c r="X9" s="29"/>
      <c r="Y9" s="28"/>
      <c r="Z9" s="28"/>
      <c r="AA9" s="26">
        <f t="shared" si="0"/>
        <v>0</v>
      </c>
      <c r="AB9" s="27" t="e">
        <f>_xlfn.XLOOKUP($C:$C,'DT PPM'!$F:$F,'DT PPM'!$D:$D)</f>
        <v>#N/A</v>
      </c>
      <c r="AC9" s="27" t="e">
        <f>VLOOKUP(C9,'DT PPM'!$C$3:$E$1048576,3,0)</f>
        <v>#N/A</v>
      </c>
    </row>
    <row r="10" spans="1:29" x14ac:dyDescent="0.25">
      <c r="A10" s="39"/>
      <c r="B10" s="28" t="s">
        <v>61</v>
      </c>
      <c r="C10" s="37">
        <v>28632</v>
      </c>
      <c r="D10" s="28" t="s">
        <v>94</v>
      </c>
      <c r="E10" s="28"/>
      <c r="F10" s="28" t="s">
        <v>95</v>
      </c>
      <c r="G10" s="28" t="s">
        <v>96</v>
      </c>
      <c r="H10" s="28">
        <v>823.5</v>
      </c>
      <c r="I10" s="28">
        <v>3448</v>
      </c>
      <c r="J10" s="28">
        <v>3448</v>
      </c>
      <c r="K10" s="28">
        <v>0.61799999999999999</v>
      </c>
      <c r="L10" s="28">
        <v>2.1308600000000002</v>
      </c>
      <c r="M10" s="28">
        <v>21</v>
      </c>
      <c r="N10" s="29">
        <v>0.9758</v>
      </c>
      <c r="O10" s="28">
        <v>0</v>
      </c>
      <c r="P10" s="29">
        <v>0</v>
      </c>
      <c r="Q10" s="28">
        <v>21</v>
      </c>
      <c r="R10" s="29">
        <v>0.9758</v>
      </c>
      <c r="S10" s="28">
        <v>21</v>
      </c>
      <c r="T10" s="29">
        <v>0.9758</v>
      </c>
      <c r="U10" s="28">
        <v>0</v>
      </c>
      <c r="V10" s="29">
        <v>0</v>
      </c>
      <c r="W10" s="28">
        <v>21</v>
      </c>
      <c r="X10" s="29">
        <v>0.9758</v>
      </c>
      <c r="Y10" s="28"/>
      <c r="Z10" s="28"/>
      <c r="AA10" s="26">
        <f t="shared" si="0"/>
        <v>0</v>
      </c>
      <c r="AB10" s="27" t="e">
        <f>_xlfn.XLOOKUP($C:$C,'DT PPM'!$F:$F,'DT PPM'!$D:$D)</f>
        <v>#N/A</v>
      </c>
      <c r="AC10" s="27" t="e">
        <f>VLOOKUP(C10,'DT PPM'!$C$3:$E$1048576,3,0)</f>
        <v>#N/A</v>
      </c>
    </row>
    <row r="11" spans="1:29" x14ac:dyDescent="0.25">
      <c r="A11" s="39"/>
      <c r="B11" s="28" t="s">
        <v>61</v>
      </c>
      <c r="C11" s="37">
        <v>29076</v>
      </c>
      <c r="D11" s="28" t="s">
        <v>98</v>
      </c>
      <c r="E11" s="28"/>
      <c r="F11" s="28" t="s">
        <v>65</v>
      </c>
      <c r="G11" s="28" t="s">
        <v>66</v>
      </c>
      <c r="H11" s="28">
        <v>29607</v>
      </c>
      <c r="I11" s="28">
        <v>10080</v>
      </c>
      <c r="J11" s="28">
        <v>140</v>
      </c>
      <c r="K11" s="28">
        <v>5.016</v>
      </c>
      <c r="L11" s="28">
        <v>0.70223999999999998</v>
      </c>
      <c r="M11" s="28"/>
      <c r="N11" s="29"/>
      <c r="O11" s="28"/>
      <c r="P11" s="29"/>
      <c r="Q11" s="28"/>
      <c r="R11" s="29"/>
      <c r="S11" s="28"/>
      <c r="T11" s="29"/>
      <c r="U11" s="28"/>
      <c r="V11" s="29"/>
      <c r="W11" s="28"/>
      <c r="X11" s="29"/>
      <c r="Y11" s="28"/>
      <c r="Z11" s="28"/>
      <c r="AA11" s="26">
        <f t="shared" si="0"/>
        <v>0</v>
      </c>
      <c r="AB11" s="27" t="e">
        <f>_xlfn.XLOOKUP($C:$C,'DT PPM'!$F:$F,'DT PPM'!$D:$D)</f>
        <v>#N/A</v>
      </c>
      <c r="AC11" s="27" t="e">
        <f>VLOOKUP(C11,'DT PPM'!$C$3:$E$1048576,3,0)</f>
        <v>#N/A</v>
      </c>
    </row>
    <row r="12" spans="1:29" x14ac:dyDescent="0.25">
      <c r="A12" s="39"/>
      <c r="B12" s="28" t="s">
        <v>61</v>
      </c>
      <c r="C12" s="37">
        <v>29434</v>
      </c>
      <c r="D12" s="28" t="s">
        <v>102</v>
      </c>
      <c r="E12" s="28" t="s">
        <v>99</v>
      </c>
      <c r="F12" s="28" t="s">
        <v>103</v>
      </c>
      <c r="G12" s="28" t="s">
        <v>104</v>
      </c>
      <c r="H12" s="28">
        <v>3570.04</v>
      </c>
      <c r="I12" s="28">
        <v>11760</v>
      </c>
      <c r="J12" s="28">
        <v>245</v>
      </c>
      <c r="K12" s="28">
        <v>4.4039999999999999</v>
      </c>
      <c r="L12" s="28">
        <v>1.0789800000000001</v>
      </c>
      <c r="M12" s="28"/>
      <c r="N12" s="29"/>
      <c r="O12" s="28"/>
      <c r="P12" s="29"/>
      <c r="Q12" s="28"/>
      <c r="R12" s="29"/>
      <c r="S12" s="28"/>
      <c r="T12" s="29"/>
      <c r="U12" s="28"/>
      <c r="V12" s="29"/>
      <c r="W12" s="28"/>
      <c r="X12" s="29"/>
      <c r="Y12" s="28"/>
      <c r="Z12" s="28"/>
      <c r="AA12" s="26">
        <f t="shared" si="0"/>
        <v>0</v>
      </c>
      <c r="AB12" s="27" t="e">
        <f>_xlfn.XLOOKUP($C:$C,'DT PPM'!$F:$F,'DT PPM'!$D:$D)</f>
        <v>#N/A</v>
      </c>
      <c r="AC12" s="27" t="e">
        <f>VLOOKUP(C12,'DT PPM'!$C$3:$E$1048576,3,0)</f>
        <v>#N/A</v>
      </c>
    </row>
    <row r="13" spans="1:29" x14ac:dyDescent="0.25">
      <c r="A13" s="39"/>
      <c r="B13" s="28" t="s">
        <v>61</v>
      </c>
      <c r="C13" s="37">
        <v>41647</v>
      </c>
      <c r="D13" s="28" t="s">
        <v>113</v>
      </c>
      <c r="E13" s="28" t="s">
        <v>99</v>
      </c>
      <c r="F13" s="28" t="s">
        <v>88</v>
      </c>
      <c r="G13" s="28" t="s">
        <v>89</v>
      </c>
      <c r="H13" s="28">
        <v>8788</v>
      </c>
      <c r="I13" s="28">
        <v>10080</v>
      </c>
      <c r="J13" s="28">
        <v>840</v>
      </c>
      <c r="K13" s="28">
        <v>6.8414000000000001</v>
      </c>
      <c r="L13" s="28">
        <v>5.7467699999999997</v>
      </c>
      <c r="M13" s="28"/>
      <c r="N13" s="29"/>
      <c r="O13" s="28"/>
      <c r="P13" s="29"/>
      <c r="Q13" s="28"/>
      <c r="R13" s="29"/>
      <c r="S13" s="28"/>
      <c r="T13" s="29"/>
      <c r="U13" s="28"/>
      <c r="V13" s="29"/>
      <c r="W13" s="28"/>
      <c r="X13" s="29"/>
      <c r="Y13" s="28"/>
      <c r="Z13" s="28"/>
      <c r="AA13" s="26">
        <f t="shared" si="0"/>
        <v>0</v>
      </c>
      <c r="AB13" s="27" t="e">
        <f>_xlfn.XLOOKUP($C:$C,'DT PPM'!$F:$F,'DT PPM'!$D:$D)</f>
        <v>#N/A</v>
      </c>
      <c r="AC13" s="27" t="e">
        <f>VLOOKUP(C13,'DT PPM'!$C$3:$E$1048576,3,0)</f>
        <v>#N/A</v>
      </c>
    </row>
    <row r="14" spans="1:29" x14ac:dyDescent="0.25">
      <c r="A14" s="39"/>
      <c r="B14" s="28" t="s">
        <v>61</v>
      </c>
      <c r="C14" s="37">
        <v>41648</v>
      </c>
      <c r="D14" s="28" t="s">
        <v>116</v>
      </c>
      <c r="E14" s="28" t="s">
        <v>99</v>
      </c>
      <c r="F14" s="28" t="s">
        <v>83</v>
      </c>
      <c r="G14" s="28" t="s">
        <v>84</v>
      </c>
      <c r="H14" s="28">
        <v>7060.8</v>
      </c>
      <c r="I14" s="28">
        <v>7980</v>
      </c>
      <c r="J14" s="28">
        <v>665</v>
      </c>
      <c r="K14" s="28">
        <v>6.8414000000000001</v>
      </c>
      <c r="L14" s="28">
        <v>4.5495299999999999</v>
      </c>
      <c r="M14" s="28"/>
      <c r="N14" s="29"/>
      <c r="O14" s="28"/>
      <c r="P14" s="29"/>
      <c r="Q14" s="28"/>
      <c r="R14" s="29"/>
      <c r="S14" s="28"/>
      <c r="T14" s="29"/>
      <c r="U14" s="28"/>
      <c r="V14" s="29"/>
      <c r="W14" s="28"/>
      <c r="X14" s="29"/>
      <c r="Y14" s="28"/>
      <c r="Z14" s="28"/>
      <c r="AA14" s="26">
        <f t="shared" si="0"/>
        <v>0</v>
      </c>
      <c r="AB14" s="27" t="e">
        <f>_xlfn.XLOOKUP($C:$C,'DT PPM'!$F:$F,'DT PPM'!$D:$D)</f>
        <v>#N/A</v>
      </c>
      <c r="AC14" s="27" t="e">
        <f>VLOOKUP(C14,'DT PPM'!$C$3:$E$1048576,3,0)</f>
        <v>#N/A</v>
      </c>
    </row>
    <row r="15" spans="1:29" x14ac:dyDescent="0.25">
      <c r="A15" s="39"/>
      <c r="B15" s="28" t="s">
        <v>61</v>
      </c>
      <c r="C15" s="37">
        <v>41649</v>
      </c>
      <c r="D15" s="28" t="s">
        <v>119</v>
      </c>
      <c r="E15" s="28"/>
      <c r="F15" s="28" t="s">
        <v>120</v>
      </c>
      <c r="G15" s="28" t="s">
        <v>121</v>
      </c>
      <c r="H15" s="28" t="s">
        <v>432</v>
      </c>
      <c r="I15" s="28">
        <v>4452</v>
      </c>
      <c r="J15" s="28">
        <v>371</v>
      </c>
      <c r="K15" s="28">
        <v>6.9696999999999996</v>
      </c>
      <c r="L15" s="28">
        <v>2.58575</v>
      </c>
      <c r="M15" s="28">
        <v>8</v>
      </c>
      <c r="N15" s="29">
        <v>0.30840000000000001</v>
      </c>
      <c r="O15" s="28">
        <v>0</v>
      </c>
      <c r="P15" s="29">
        <v>0</v>
      </c>
      <c r="Q15" s="28">
        <v>8</v>
      </c>
      <c r="R15" s="29">
        <v>0.30840000000000001</v>
      </c>
      <c r="S15" s="28">
        <v>8</v>
      </c>
      <c r="T15" s="29">
        <v>0.30840000000000001</v>
      </c>
      <c r="U15" s="28">
        <v>0</v>
      </c>
      <c r="V15" s="29">
        <v>0</v>
      </c>
      <c r="W15" s="28">
        <v>8</v>
      </c>
      <c r="X15" s="29">
        <v>0.30840000000000001</v>
      </c>
      <c r="Y15" s="28"/>
      <c r="Z15" s="28"/>
      <c r="AA15" s="26">
        <f t="shared" si="0"/>
        <v>0</v>
      </c>
      <c r="AB15" s="27" t="e">
        <f>_xlfn.XLOOKUP($C:$C,'DT PPM'!$F:$F,'DT PPM'!$D:$D)</f>
        <v>#N/A</v>
      </c>
      <c r="AC15" s="27" t="e">
        <f>VLOOKUP(C15,'DT PPM'!$C$3:$E$1048576,3,0)</f>
        <v>#N/A</v>
      </c>
    </row>
    <row r="16" spans="1:29" x14ac:dyDescent="0.25">
      <c r="A16" s="39"/>
      <c r="B16" s="28" t="s">
        <v>61</v>
      </c>
      <c r="C16" s="37">
        <v>45533</v>
      </c>
      <c r="D16" s="28" t="s">
        <v>127</v>
      </c>
      <c r="E16" s="28" t="s">
        <v>197</v>
      </c>
      <c r="F16" s="28" t="s">
        <v>75</v>
      </c>
      <c r="G16" s="28" t="s">
        <v>76</v>
      </c>
      <c r="H16" s="28" t="s">
        <v>420</v>
      </c>
      <c r="I16" s="28">
        <v>3376</v>
      </c>
      <c r="J16" s="28">
        <v>422</v>
      </c>
      <c r="K16" s="28">
        <v>4.1440000000000001</v>
      </c>
      <c r="L16" s="28">
        <v>1.7487600000000001</v>
      </c>
      <c r="M16" s="28"/>
      <c r="N16" s="29"/>
      <c r="O16" s="28"/>
      <c r="P16" s="29"/>
      <c r="Q16" s="28"/>
      <c r="R16" s="29"/>
      <c r="S16" s="28"/>
      <c r="T16" s="29"/>
      <c r="U16" s="28"/>
      <c r="V16" s="29"/>
      <c r="W16" s="28"/>
      <c r="X16" s="29"/>
      <c r="Y16" s="28"/>
      <c r="Z16" s="28"/>
      <c r="AA16" s="26">
        <f t="shared" si="0"/>
        <v>0</v>
      </c>
      <c r="AB16" s="27" t="e">
        <f>_xlfn.XLOOKUP($C:$C,'DT PPM'!$F:$F,'DT PPM'!$D:$D)</f>
        <v>#N/A</v>
      </c>
      <c r="AC16" s="27" t="e">
        <f>VLOOKUP(C16,'DT PPM'!$C$3:$E$1048576,3,0)</f>
        <v>#N/A</v>
      </c>
    </row>
    <row r="17" spans="1:29" x14ac:dyDescent="0.25">
      <c r="A17" s="39"/>
      <c r="B17" s="28" t="s">
        <v>61</v>
      </c>
      <c r="C17" s="37">
        <v>45541</v>
      </c>
      <c r="D17" s="28" t="s">
        <v>129</v>
      </c>
      <c r="E17" s="28" t="s">
        <v>130</v>
      </c>
      <c r="F17" s="28" t="s">
        <v>95</v>
      </c>
      <c r="G17" s="28" t="s">
        <v>96</v>
      </c>
      <c r="H17" s="28" t="s">
        <v>422</v>
      </c>
      <c r="I17" s="28">
        <v>2800</v>
      </c>
      <c r="J17" s="28">
        <v>280</v>
      </c>
      <c r="K17" s="28">
        <v>6.1802000000000001</v>
      </c>
      <c r="L17" s="28">
        <v>1.73045</v>
      </c>
      <c r="M17" s="28"/>
      <c r="N17" s="29"/>
      <c r="O17" s="28"/>
      <c r="P17" s="29"/>
      <c r="Q17" s="28"/>
      <c r="R17" s="29"/>
      <c r="S17" s="28"/>
      <c r="T17" s="29"/>
      <c r="U17" s="28"/>
      <c r="V17" s="29"/>
      <c r="W17" s="28"/>
      <c r="X17" s="29"/>
      <c r="Y17" s="28"/>
      <c r="Z17" s="28"/>
      <c r="AA17" s="26">
        <f t="shared" si="0"/>
        <v>0</v>
      </c>
      <c r="AB17" s="27" t="e">
        <f>_xlfn.XLOOKUP($C:$C,'DT PPM'!$F:$F,'DT PPM'!$D:$D)</f>
        <v>#N/A</v>
      </c>
      <c r="AC17" s="27" t="e">
        <f>VLOOKUP(C17,'DT PPM'!$C$3:$E$1048576,3,0)</f>
        <v>#N/A</v>
      </c>
    </row>
    <row r="18" spans="1:29" x14ac:dyDescent="0.25">
      <c r="A18" s="39"/>
      <c r="B18" s="28" t="s">
        <v>61</v>
      </c>
      <c r="C18" s="37">
        <v>48629</v>
      </c>
      <c r="D18" s="28" t="s">
        <v>132</v>
      </c>
      <c r="E18" s="28" t="s">
        <v>137</v>
      </c>
      <c r="F18" s="28" t="s">
        <v>133</v>
      </c>
      <c r="G18" s="28" t="s">
        <v>134</v>
      </c>
      <c r="H18" s="28">
        <v>4787</v>
      </c>
      <c r="I18" s="28">
        <v>2500</v>
      </c>
      <c r="J18" s="28">
        <v>250</v>
      </c>
      <c r="K18" s="28">
        <v>0.72230000000000005</v>
      </c>
      <c r="L18" s="28">
        <v>0.18057000000000001</v>
      </c>
      <c r="M18" s="28"/>
      <c r="N18" s="29"/>
      <c r="O18" s="28"/>
      <c r="P18" s="29"/>
      <c r="Q18" s="28"/>
      <c r="R18" s="29"/>
      <c r="S18" s="28"/>
      <c r="T18" s="29"/>
      <c r="U18" s="28"/>
      <c r="V18" s="29"/>
      <c r="W18" s="28"/>
      <c r="X18" s="29"/>
      <c r="Y18" s="28"/>
      <c r="Z18" s="28"/>
      <c r="AA18" s="26">
        <f t="shared" si="0"/>
        <v>0</v>
      </c>
      <c r="AB18" s="27" t="e">
        <f>_xlfn.XLOOKUP($C:$C,'DT PPM'!$F:$F,'DT PPM'!$D:$D)</f>
        <v>#N/A</v>
      </c>
      <c r="AC18" s="27" t="e">
        <f>VLOOKUP(C18,'DT PPM'!$C$3:$E$1048576,3,0)</f>
        <v>#N/A</v>
      </c>
    </row>
    <row r="19" spans="1:29" x14ac:dyDescent="0.25">
      <c r="A19" s="39"/>
      <c r="B19" s="28" t="s">
        <v>61</v>
      </c>
      <c r="C19" s="37">
        <v>48630</v>
      </c>
      <c r="D19" s="28" t="s">
        <v>136</v>
      </c>
      <c r="E19" s="28" t="s">
        <v>137</v>
      </c>
      <c r="F19" s="28" t="s">
        <v>133</v>
      </c>
      <c r="G19" s="28" t="s">
        <v>134</v>
      </c>
      <c r="H19" s="28" t="s">
        <v>417</v>
      </c>
      <c r="I19" s="28">
        <v>6260</v>
      </c>
      <c r="J19" s="28">
        <v>626</v>
      </c>
      <c r="K19" s="28">
        <v>0.85199999999999998</v>
      </c>
      <c r="L19" s="28">
        <v>0.53334999999999999</v>
      </c>
      <c r="M19" s="28"/>
      <c r="N19" s="29"/>
      <c r="O19" s="28"/>
      <c r="P19" s="29"/>
      <c r="Q19" s="28"/>
      <c r="R19" s="29"/>
      <c r="S19" s="28"/>
      <c r="T19" s="29"/>
      <c r="U19" s="28"/>
      <c r="V19" s="29"/>
      <c r="W19" s="28"/>
      <c r="X19" s="29"/>
      <c r="Y19" s="28"/>
      <c r="Z19" s="28"/>
      <c r="AA19" s="26">
        <f t="shared" si="0"/>
        <v>0</v>
      </c>
      <c r="AB19" s="27" t="e">
        <f>_xlfn.XLOOKUP($C:$C,'DT PPM'!$F:$F,'DT PPM'!$D:$D)</f>
        <v>#N/A</v>
      </c>
      <c r="AC19" s="27" t="e">
        <f>VLOOKUP(C19,'DT PPM'!$C$3:$E$1048576,3,0)</f>
        <v>#N/A</v>
      </c>
    </row>
    <row r="20" spans="1:29" x14ac:dyDescent="0.25">
      <c r="A20" s="39"/>
      <c r="B20" s="28" t="s">
        <v>61</v>
      </c>
      <c r="C20" s="37">
        <v>500490</v>
      </c>
      <c r="D20" s="28" t="s">
        <v>139</v>
      </c>
      <c r="E20" s="28"/>
      <c r="F20" s="28" t="s">
        <v>140</v>
      </c>
      <c r="G20" s="28" t="s">
        <v>141</v>
      </c>
      <c r="H20" s="28" t="s">
        <v>433</v>
      </c>
      <c r="I20" s="28">
        <v>18128</v>
      </c>
      <c r="J20" s="28">
        <v>1133</v>
      </c>
      <c r="K20" s="28">
        <v>7.3037999999999998</v>
      </c>
      <c r="L20" s="28">
        <v>8.2751999999999999</v>
      </c>
      <c r="M20" s="28">
        <v>37</v>
      </c>
      <c r="N20" s="29">
        <v>0.44280000000000003</v>
      </c>
      <c r="O20" s="28">
        <v>43</v>
      </c>
      <c r="P20" s="29">
        <v>0.51459999999999995</v>
      </c>
      <c r="Q20" s="28">
        <v>80</v>
      </c>
      <c r="R20" s="29">
        <v>0.95740000000000003</v>
      </c>
      <c r="S20" s="28">
        <v>37</v>
      </c>
      <c r="T20" s="29">
        <v>0.44280000000000003</v>
      </c>
      <c r="U20" s="28">
        <v>43</v>
      </c>
      <c r="V20" s="29">
        <v>0.51690000000000003</v>
      </c>
      <c r="W20" s="28">
        <v>37</v>
      </c>
      <c r="X20" s="29">
        <v>0.44280000000000003</v>
      </c>
      <c r="Y20" s="28"/>
      <c r="Z20" s="28"/>
      <c r="AA20" s="26">
        <f t="shared" si="0"/>
        <v>0</v>
      </c>
      <c r="AB20" s="27" t="e">
        <f>_xlfn.XLOOKUP($C:$C,'DT PPM'!$F:$F,'DT PPM'!$D:$D)</f>
        <v>#N/A</v>
      </c>
      <c r="AC20" s="27" t="e">
        <f>VLOOKUP(C20,'DT PPM'!$C$3:$E$1048576,3,0)</f>
        <v>#N/A</v>
      </c>
    </row>
    <row r="21" spans="1:29" x14ac:dyDescent="0.25">
      <c r="A21" s="39"/>
      <c r="B21" s="28" t="s">
        <v>61</v>
      </c>
      <c r="C21" s="37">
        <v>500493</v>
      </c>
      <c r="D21" s="28" t="s">
        <v>144</v>
      </c>
      <c r="E21" s="28" t="s">
        <v>99</v>
      </c>
      <c r="F21" s="28" t="s">
        <v>145</v>
      </c>
      <c r="G21" s="28" t="s">
        <v>146</v>
      </c>
      <c r="H21" s="28" t="s">
        <v>434</v>
      </c>
      <c r="I21" s="28">
        <v>41760</v>
      </c>
      <c r="J21" s="28">
        <v>464</v>
      </c>
      <c r="K21" s="28">
        <v>5.9889999999999999</v>
      </c>
      <c r="L21" s="28">
        <v>2.7789100000000002</v>
      </c>
      <c r="M21" s="28">
        <v>11</v>
      </c>
      <c r="N21" s="29">
        <v>0.39419999999999999</v>
      </c>
      <c r="O21" s="28">
        <v>0</v>
      </c>
      <c r="P21" s="29">
        <v>0</v>
      </c>
      <c r="Q21" s="28">
        <v>11</v>
      </c>
      <c r="R21" s="29">
        <v>0.39419999999999999</v>
      </c>
      <c r="S21" s="28">
        <v>11</v>
      </c>
      <c r="T21" s="29">
        <v>0.39419999999999999</v>
      </c>
      <c r="U21" s="28">
        <v>0</v>
      </c>
      <c r="V21" s="29">
        <v>0</v>
      </c>
      <c r="W21" s="28">
        <v>11</v>
      </c>
      <c r="X21" s="29">
        <v>0.39419999999999999</v>
      </c>
      <c r="Y21" s="28"/>
      <c r="Z21" s="28"/>
      <c r="AA21" s="26">
        <f t="shared" si="0"/>
        <v>0</v>
      </c>
      <c r="AB21" s="27" t="e">
        <f>_xlfn.XLOOKUP($C:$C,'DT PPM'!$F:$F,'DT PPM'!$D:$D)</f>
        <v>#N/A</v>
      </c>
      <c r="AC21" s="27" t="e">
        <f>VLOOKUP(C21,'DT PPM'!$C$3:$E$1048576,3,0)</f>
        <v>#N/A</v>
      </c>
    </row>
    <row r="22" spans="1:29" x14ac:dyDescent="0.25">
      <c r="A22" s="39"/>
      <c r="B22" s="28" t="s">
        <v>61</v>
      </c>
      <c r="C22" s="37">
        <v>504672</v>
      </c>
      <c r="D22" s="28" t="s">
        <v>149</v>
      </c>
      <c r="E22" s="28" t="s">
        <v>137</v>
      </c>
      <c r="F22" s="28" t="s">
        <v>103</v>
      </c>
      <c r="G22" s="28" t="s">
        <v>104</v>
      </c>
      <c r="H22" s="28" t="s">
        <v>424</v>
      </c>
      <c r="I22" s="28">
        <v>7200</v>
      </c>
      <c r="J22" s="28">
        <v>1200</v>
      </c>
      <c r="K22" s="28">
        <v>0.53500000000000003</v>
      </c>
      <c r="L22" s="28">
        <v>0.64200000000000002</v>
      </c>
      <c r="M22" s="28"/>
      <c r="N22" s="29"/>
      <c r="O22" s="28"/>
      <c r="P22" s="29"/>
      <c r="Q22" s="28"/>
      <c r="R22" s="29"/>
      <c r="S22" s="28"/>
      <c r="T22" s="29"/>
      <c r="U22" s="28"/>
      <c r="V22" s="29"/>
      <c r="W22" s="28"/>
      <c r="X22" s="29"/>
      <c r="Y22" s="28"/>
      <c r="Z22" s="28"/>
      <c r="AA22" s="26">
        <f t="shared" si="0"/>
        <v>0</v>
      </c>
      <c r="AB22" s="27" t="e">
        <f>_xlfn.XLOOKUP($C:$C,'DT PPM'!$F:$F,'DT PPM'!$D:$D)</f>
        <v>#N/A</v>
      </c>
      <c r="AC22" s="27" t="e">
        <f>VLOOKUP(C22,'DT PPM'!$C$3:$E$1048576,3,0)</f>
        <v>#N/A</v>
      </c>
    </row>
    <row r="23" spans="1:29" x14ac:dyDescent="0.25">
      <c r="A23" s="39"/>
      <c r="B23" s="28" t="s">
        <v>61</v>
      </c>
      <c r="C23" s="37">
        <v>505377</v>
      </c>
      <c r="D23" s="28" t="s">
        <v>151</v>
      </c>
      <c r="E23" s="28" t="s">
        <v>99</v>
      </c>
      <c r="F23" s="28" t="s">
        <v>152</v>
      </c>
      <c r="G23" s="28" t="s">
        <v>153</v>
      </c>
      <c r="H23" s="28" t="s">
        <v>423</v>
      </c>
      <c r="I23" s="28">
        <v>10320</v>
      </c>
      <c r="J23" s="28">
        <v>645</v>
      </c>
      <c r="K23" s="28">
        <v>7.3037999999999998</v>
      </c>
      <c r="L23" s="28">
        <v>4.7109500000000004</v>
      </c>
      <c r="M23" s="28">
        <v>31</v>
      </c>
      <c r="N23" s="29">
        <v>0.64959999999999996</v>
      </c>
      <c r="O23" s="28">
        <v>30</v>
      </c>
      <c r="P23" s="29">
        <v>0.62860000000000005</v>
      </c>
      <c r="Q23" s="28">
        <v>61</v>
      </c>
      <c r="R23" s="29">
        <v>1.2783</v>
      </c>
      <c r="S23" s="28">
        <v>31</v>
      </c>
      <c r="T23" s="29">
        <v>0.64959999999999996</v>
      </c>
      <c r="U23" s="28">
        <v>30</v>
      </c>
      <c r="V23" s="29">
        <v>0.63270000000000004</v>
      </c>
      <c r="W23" s="28">
        <v>31</v>
      </c>
      <c r="X23" s="29">
        <v>0.64959999999999996</v>
      </c>
      <c r="Y23" s="28"/>
      <c r="Z23" s="28"/>
      <c r="AA23" s="26">
        <f t="shared" si="0"/>
        <v>0</v>
      </c>
      <c r="AB23" s="27" t="e">
        <f>_xlfn.XLOOKUP($C:$C,'DT PPM'!$F:$F,'DT PPM'!$D:$D)</f>
        <v>#N/A</v>
      </c>
      <c r="AC23" s="27" t="e">
        <f>VLOOKUP(C23,'DT PPM'!$C$3:$E$1048576,3,0)</f>
        <v>#N/A</v>
      </c>
    </row>
    <row r="24" spans="1:29" x14ac:dyDescent="0.25">
      <c r="A24" s="39"/>
      <c r="B24" s="28" t="s">
        <v>61</v>
      </c>
      <c r="C24" s="37">
        <v>505976</v>
      </c>
      <c r="D24" s="28" t="s">
        <v>155</v>
      </c>
      <c r="E24" s="28" t="s">
        <v>137</v>
      </c>
      <c r="F24" s="28" t="s">
        <v>156</v>
      </c>
      <c r="G24" s="28" t="s">
        <v>157</v>
      </c>
      <c r="H24" s="28" t="s">
        <v>418</v>
      </c>
      <c r="I24" s="28">
        <v>6830</v>
      </c>
      <c r="J24" s="28">
        <v>6830</v>
      </c>
      <c r="K24" s="28">
        <v>0.47299999999999998</v>
      </c>
      <c r="L24" s="28">
        <v>3.2305899999999999</v>
      </c>
      <c r="M24" s="28">
        <v>112.48</v>
      </c>
      <c r="N24" s="29">
        <v>3.3647999999999998</v>
      </c>
      <c r="O24" s="28">
        <v>0</v>
      </c>
      <c r="P24" s="29">
        <v>0</v>
      </c>
      <c r="Q24" s="28">
        <v>112.48</v>
      </c>
      <c r="R24" s="29">
        <v>3.3647999999999998</v>
      </c>
      <c r="S24" s="28">
        <v>47</v>
      </c>
      <c r="T24" s="29">
        <v>1.4057999999999999</v>
      </c>
      <c r="U24" s="28">
        <v>39</v>
      </c>
      <c r="V24" s="29">
        <v>1.1928000000000001</v>
      </c>
      <c r="W24" s="28">
        <v>73.48</v>
      </c>
      <c r="X24" s="29">
        <v>2.1981999999999999</v>
      </c>
      <c r="Y24" s="28"/>
      <c r="Z24" s="28"/>
      <c r="AA24" s="26">
        <f t="shared" si="0"/>
        <v>0</v>
      </c>
      <c r="AB24" s="27" t="e">
        <f>_xlfn.XLOOKUP($C:$C,'DT PPM'!$F:$F,'DT PPM'!$D:$D)</f>
        <v>#N/A</v>
      </c>
      <c r="AC24" s="27" t="e">
        <f>VLOOKUP(C24,'DT PPM'!$C$3:$E$1048576,3,0)</f>
        <v>#N/A</v>
      </c>
    </row>
    <row r="25" spans="1:29" x14ac:dyDescent="0.25">
      <c r="A25" s="39"/>
      <c r="B25" s="28" t="s">
        <v>61</v>
      </c>
      <c r="C25" s="37">
        <v>506250</v>
      </c>
      <c r="D25" s="28" t="s">
        <v>160</v>
      </c>
      <c r="E25" s="28"/>
      <c r="F25" s="28" t="s">
        <v>161</v>
      </c>
      <c r="G25" s="28" t="s">
        <v>162</v>
      </c>
      <c r="H25" s="28">
        <v>5291</v>
      </c>
      <c r="I25" s="28">
        <v>6830</v>
      </c>
      <c r="J25" s="28">
        <v>6830</v>
      </c>
      <c r="K25" s="28">
        <v>0.48180000000000001</v>
      </c>
      <c r="L25" s="28">
        <v>3.2906900000000001</v>
      </c>
      <c r="M25" s="28">
        <v>131.9</v>
      </c>
      <c r="N25" s="29">
        <v>3.8344</v>
      </c>
      <c r="O25" s="28">
        <v>17.5</v>
      </c>
      <c r="P25" s="29">
        <v>0.50870000000000004</v>
      </c>
      <c r="Q25" s="28">
        <v>149.4</v>
      </c>
      <c r="R25" s="29">
        <v>4.3430999999999997</v>
      </c>
      <c r="S25" s="28">
        <v>42</v>
      </c>
      <c r="T25" s="29">
        <v>1.2208000000000001</v>
      </c>
      <c r="U25" s="28">
        <v>78.5</v>
      </c>
      <c r="V25" s="29">
        <v>2.3298999999999999</v>
      </c>
      <c r="W25" s="28">
        <v>70.900000000000006</v>
      </c>
      <c r="X25" s="29">
        <v>2.0611999999999999</v>
      </c>
      <c r="Y25" s="28"/>
      <c r="Z25" s="28"/>
      <c r="AA25" s="26">
        <f t="shared" si="0"/>
        <v>0</v>
      </c>
      <c r="AB25" s="27" t="e">
        <f>_xlfn.XLOOKUP($C:$C,'DT PPM'!$F:$F,'DT PPM'!$D:$D)</f>
        <v>#N/A</v>
      </c>
      <c r="AC25" s="27" t="e">
        <f>VLOOKUP(C25,'DT PPM'!$C$3:$E$1048576,3,0)</f>
        <v>#N/A</v>
      </c>
    </row>
    <row r="26" spans="1:29" x14ac:dyDescent="0.25">
      <c r="A26" s="39"/>
      <c r="B26" s="28" t="s">
        <v>61</v>
      </c>
      <c r="C26" s="37">
        <v>506251</v>
      </c>
      <c r="D26" s="28" t="s">
        <v>165</v>
      </c>
      <c r="E26" s="28" t="s">
        <v>137</v>
      </c>
      <c r="F26" s="28" t="s">
        <v>166</v>
      </c>
      <c r="G26" s="28" t="s">
        <v>167</v>
      </c>
      <c r="H26" s="28" t="s">
        <v>435</v>
      </c>
      <c r="I26" s="28">
        <v>7002</v>
      </c>
      <c r="J26" s="28">
        <v>7002</v>
      </c>
      <c r="K26" s="28">
        <v>0.61040000000000005</v>
      </c>
      <c r="L26" s="28">
        <v>4.2740200000000002</v>
      </c>
      <c r="M26" s="28">
        <v>20</v>
      </c>
      <c r="N26" s="29">
        <v>0.46450000000000002</v>
      </c>
      <c r="O26" s="28">
        <v>11</v>
      </c>
      <c r="P26" s="29">
        <v>0.2555</v>
      </c>
      <c r="Q26" s="28">
        <v>31</v>
      </c>
      <c r="R26" s="29">
        <v>0.72</v>
      </c>
      <c r="S26" s="28">
        <v>20</v>
      </c>
      <c r="T26" s="29">
        <v>0.46450000000000002</v>
      </c>
      <c r="U26" s="28">
        <v>11</v>
      </c>
      <c r="V26" s="29">
        <v>0.25669999999999998</v>
      </c>
      <c r="W26" s="28">
        <v>20</v>
      </c>
      <c r="X26" s="29">
        <v>0.46450000000000002</v>
      </c>
      <c r="Y26" s="28"/>
      <c r="Z26" s="28"/>
      <c r="AA26" s="26">
        <f t="shared" si="0"/>
        <v>0</v>
      </c>
      <c r="AB26" s="27" t="e">
        <f>_xlfn.XLOOKUP($C:$C,'DT PPM'!$F:$F,'DT PPM'!$D:$D)</f>
        <v>#N/A</v>
      </c>
      <c r="AC26" s="27" t="e">
        <f>VLOOKUP(C26,'DT PPM'!$C$3:$E$1048576,3,0)</f>
        <v>#N/A</v>
      </c>
    </row>
    <row r="27" spans="1:29" x14ac:dyDescent="0.25">
      <c r="A27" s="39"/>
      <c r="B27" s="28" t="s">
        <v>61</v>
      </c>
      <c r="C27" s="37">
        <v>506252</v>
      </c>
      <c r="D27" s="28" t="s">
        <v>170</v>
      </c>
      <c r="E27" s="28" t="s">
        <v>137</v>
      </c>
      <c r="F27" s="28" t="s">
        <v>171</v>
      </c>
      <c r="G27" s="28" t="s">
        <v>172</v>
      </c>
      <c r="H27" s="28" t="s">
        <v>436</v>
      </c>
      <c r="I27" s="28">
        <v>4326</v>
      </c>
      <c r="J27" s="28">
        <v>4326</v>
      </c>
      <c r="K27" s="28">
        <v>0.74470000000000003</v>
      </c>
      <c r="L27" s="28">
        <v>3.2216100000000001</v>
      </c>
      <c r="M27" s="28">
        <v>24.97</v>
      </c>
      <c r="N27" s="29">
        <v>0.76929999999999998</v>
      </c>
      <c r="O27" s="28">
        <v>0</v>
      </c>
      <c r="P27" s="29">
        <v>0</v>
      </c>
      <c r="Q27" s="28">
        <v>24.97</v>
      </c>
      <c r="R27" s="29">
        <v>0.76929999999999998</v>
      </c>
      <c r="S27" s="28">
        <v>22</v>
      </c>
      <c r="T27" s="29">
        <v>0.67759999999999998</v>
      </c>
      <c r="U27" s="28">
        <v>0</v>
      </c>
      <c r="V27" s="29">
        <v>0</v>
      </c>
      <c r="W27" s="28">
        <v>24.97</v>
      </c>
      <c r="X27" s="29">
        <v>0.76929999999999998</v>
      </c>
      <c r="Y27" s="28"/>
      <c r="Z27" s="28"/>
      <c r="AA27" s="26">
        <f t="shared" si="0"/>
        <v>0</v>
      </c>
      <c r="AB27" s="27" t="e">
        <f>_xlfn.XLOOKUP($C:$C,'DT PPM'!$F:$F,'DT PPM'!$D:$D)</f>
        <v>#N/A</v>
      </c>
      <c r="AC27" s="27" t="e">
        <f>VLOOKUP(C27,'DT PPM'!$C$3:$E$1048576,3,0)</f>
        <v>#N/A</v>
      </c>
    </row>
    <row r="28" spans="1:29" x14ac:dyDescent="0.25">
      <c r="A28" s="39"/>
      <c r="B28" s="28" t="s">
        <v>61</v>
      </c>
      <c r="C28" s="37">
        <v>5523</v>
      </c>
      <c r="D28" s="28" t="s">
        <v>175</v>
      </c>
      <c r="E28" s="28" t="s">
        <v>137</v>
      </c>
      <c r="F28" s="28" t="s">
        <v>103</v>
      </c>
      <c r="G28" s="28" t="s">
        <v>104</v>
      </c>
      <c r="H28" s="28">
        <v>3570.04</v>
      </c>
      <c r="I28" s="28">
        <v>1880</v>
      </c>
      <c r="J28" s="28">
        <v>470</v>
      </c>
      <c r="K28" s="28">
        <v>0.36099999999999999</v>
      </c>
      <c r="L28" s="28">
        <v>0.16966999999999999</v>
      </c>
      <c r="M28" s="28">
        <v>7</v>
      </c>
      <c r="N28" s="29">
        <v>3.4538000000000002</v>
      </c>
      <c r="O28" s="28">
        <v>26</v>
      </c>
      <c r="P28" s="29">
        <v>12.8287</v>
      </c>
      <c r="Q28" s="28">
        <v>33</v>
      </c>
      <c r="R28" s="29">
        <v>16.282599999999999</v>
      </c>
      <c r="S28" s="28">
        <v>7</v>
      </c>
      <c r="T28" s="29">
        <v>3.4538000000000002</v>
      </c>
      <c r="U28" s="28">
        <v>26</v>
      </c>
      <c r="V28" s="29">
        <v>13.287599999999999</v>
      </c>
      <c r="W28" s="28">
        <v>7</v>
      </c>
      <c r="X28" s="29">
        <v>3.4538000000000002</v>
      </c>
      <c r="Y28" s="28"/>
      <c r="Z28" s="28"/>
      <c r="AA28" s="26">
        <f t="shared" si="0"/>
        <v>0</v>
      </c>
      <c r="AB28" s="27" t="e">
        <f>_xlfn.XLOOKUP($C:$C,'DT PPM'!$F:$F,'DT PPM'!$D:$D)</f>
        <v>#N/A</v>
      </c>
      <c r="AC28" s="27" t="e">
        <f>VLOOKUP(C28,'DT PPM'!$C$3:$E$1048576,3,0)</f>
        <v>#N/A</v>
      </c>
    </row>
    <row r="29" spans="1:29" x14ac:dyDescent="0.25">
      <c r="A29" s="39"/>
      <c r="B29" s="28" t="s">
        <v>61</v>
      </c>
      <c r="C29" s="37">
        <v>7494</v>
      </c>
      <c r="D29" s="28" t="s">
        <v>177</v>
      </c>
      <c r="E29" s="28" t="s">
        <v>190</v>
      </c>
      <c r="F29" s="28" t="s">
        <v>65</v>
      </c>
      <c r="G29" s="28" t="s">
        <v>66</v>
      </c>
      <c r="H29" s="28" t="s">
        <v>425</v>
      </c>
      <c r="I29" s="28">
        <v>5616</v>
      </c>
      <c r="J29" s="28">
        <v>936</v>
      </c>
      <c r="K29" s="28">
        <v>0.41899999999999998</v>
      </c>
      <c r="L29" s="28">
        <v>0.39217999999999997</v>
      </c>
      <c r="M29" s="28"/>
      <c r="N29" s="29"/>
      <c r="O29" s="28"/>
      <c r="P29" s="29"/>
      <c r="Q29" s="28"/>
      <c r="R29" s="29"/>
      <c r="S29" s="28"/>
      <c r="T29" s="29"/>
      <c r="U29" s="28"/>
      <c r="V29" s="29"/>
      <c r="W29" s="28"/>
      <c r="X29" s="29"/>
      <c r="Y29" s="28"/>
      <c r="Z29" s="28"/>
      <c r="AA29" s="26">
        <f t="shared" si="0"/>
        <v>0</v>
      </c>
      <c r="AB29" s="27" t="e">
        <f>_xlfn.XLOOKUP($C:$C,'DT PPM'!$F:$F,'DT PPM'!$D:$D)</f>
        <v>#N/A</v>
      </c>
      <c r="AC29" s="27" t="e">
        <f>VLOOKUP(C29,'DT PPM'!$C$3:$E$1048576,3,0)</f>
        <v>#N/A</v>
      </c>
    </row>
    <row r="30" spans="1:29" x14ac:dyDescent="0.25">
      <c r="A30" s="39"/>
      <c r="B30" s="28" t="s">
        <v>61</v>
      </c>
      <c r="C30" s="37">
        <v>9466</v>
      </c>
      <c r="D30" s="28" t="s">
        <v>179</v>
      </c>
      <c r="E30" s="28"/>
      <c r="F30" s="28" t="s">
        <v>180</v>
      </c>
      <c r="G30" s="28" t="s">
        <v>181</v>
      </c>
      <c r="H30" s="28"/>
      <c r="I30" s="28">
        <v>18360</v>
      </c>
      <c r="J30" s="28">
        <v>1836</v>
      </c>
      <c r="K30" s="28">
        <v>0.91900000000000004</v>
      </c>
      <c r="L30" s="28">
        <v>1.6872799999999999</v>
      </c>
      <c r="M30" s="28">
        <v>4</v>
      </c>
      <c r="N30" s="29">
        <v>0.23530000000000001</v>
      </c>
      <c r="O30" s="28">
        <v>8</v>
      </c>
      <c r="P30" s="29">
        <v>0.47070000000000001</v>
      </c>
      <c r="Q30" s="28">
        <v>12</v>
      </c>
      <c r="R30" s="29">
        <v>0.70609999999999995</v>
      </c>
      <c r="S30" s="28">
        <v>4</v>
      </c>
      <c r="T30" s="29">
        <v>0.23530000000000001</v>
      </c>
      <c r="U30" s="28">
        <v>8</v>
      </c>
      <c r="V30" s="29">
        <v>0.4718</v>
      </c>
      <c r="W30" s="28">
        <v>4</v>
      </c>
      <c r="X30" s="29">
        <v>0.23530000000000001</v>
      </c>
      <c r="Y30" s="28"/>
      <c r="Z30" s="28"/>
      <c r="AA30" s="26">
        <f t="shared" si="0"/>
        <v>0</v>
      </c>
      <c r="AB30" s="27" t="e">
        <f>_xlfn.XLOOKUP($C:$C,'DT PPM'!$F:$F,'DT PPM'!$D:$D)</f>
        <v>#N/A</v>
      </c>
      <c r="AC30" s="27" t="e">
        <f>VLOOKUP(C30,'DT PPM'!$C$3:$E$1048576,3,0)</f>
        <v>#N/A</v>
      </c>
    </row>
    <row r="31" spans="1:29" x14ac:dyDescent="0.25">
      <c r="A31" s="39"/>
      <c r="B31" s="28" t="s">
        <v>61</v>
      </c>
      <c r="C31" s="37">
        <v>963582</v>
      </c>
      <c r="D31" s="28" t="s">
        <v>184</v>
      </c>
      <c r="E31" s="28"/>
      <c r="F31" s="28" t="s">
        <v>185</v>
      </c>
      <c r="G31" s="28" t="s">
        <v>186</v>
      </c>
      <c r="H31" s="28" t="s">
        <v>426</v>
      </c>
      <c r="I31" s="28">
        <v>9450</v>
      </c>
      <c r="J31" s="28">
        <v>945</v>
      </c>
      <c r="K31" s="28">
        <v>5.9790000000000001</v>
      </c>
      <c r="L31" s="28">
        <v>5.65015</v>
      </c>
      <c r="M31" s="28">
        <v>11</v>
      </c>
      <c r="N31" s="29">
        <v>0.1943</v>
      </c>
      <c r="O31" s="28">
        <v>0</v>
      </c>
      <c r="P31" s="29">
        <v>0</v>
      </c>
      <c r="Q31" s="28">
        <v>11</v>
      </c>
      <c r="R31" s="29">
        <v>0.1943</v>
      </c>
      <c r="S31" s="28">
        <v>11</v>
      </c>
      <c r="T31" s="29">
        <v>0.1943</v>
      </c>
      <c r="U31" s="28">
        <v>0</v>
      </c>
      <c r="V31" s="29">
        <v>0</v>
      </c>
      <c r="W31" s="28">
        <v>11</v>
      </c>
      <c r="X31" s="29">
        <v>0.1943</v>
      </c>
      <c r="Y31" s="28"/>
      <c r="Z31" s="28"/>
      <c r="AA31" s="26">
        <f t="shared" si="0"/>
        <v>0</v>
      </c>
      <c r="AB31" s="27" t="e">
        <f>_xlfn.XLOOKUP($C:$C,'DT PPM'!$F:$F,'DT PPM'!$D:$D)</f>
        <v>#N/A</v>
      </c>
      <c r="AC31" s="27" t="e">
        <f>VLOOKUP(C31,'DT PPM'!$C$3:$E$1048576,3,0)</f>
        <v>#N/A</v>
      </c>
    </row>
    <row r="32" spans="1:29" x14ac:dyDescent="0.25">
      <c r="A32" s="39"/>
      <c r="B32" s="28" t="s">
        <v>61</v>
      </c>
      <c r="C32" s="37">
        <v>963603</v>
      </c>
      <c r="D32" s="28" t="s">
        <v>189</v>
      </c>
      <c r="E32" s="28" t="s">
        <v>190</v>
      </c>
      <c r="F32" s="28" t="s">
        <v>166</v>
      </c>
      <c r="G32" s="28" t="s">
        <v>167</v>
      </c>
      <c r="H32" s="28">
        <v>2513.6999999999998</v>
      </c>
      <c r="I32" s="28">
        <v>320</v>
      </c>
      <c r="J32" s="28">
        <v>160</v>
      </c>
      <c r="K32" s="28">
        <v>1.2208000000000001</v>
      </c>
      <c r="L32" s="28">
        <v>0.19531999999999999</v>
      </c>
      <c r="M32" s="28"/>
      <c r="N32" s="29"/>
      <c r="O32" s="28"/>
      <c r="P32" s="29"/>
      <c r="Q32" s="28"/>
      <c r="R32" s="29"/>
      <c r="S32" s="28"/>
      <c r="T32" s="29"/>
      <c r="U32" s="28"/>
      <c r="V32" s="29"/>
      <c r="W32" s="28"/>
      <c r="X32" s="29"/>
      <c r="Y32" s="28"/>
      <c r="Z32" s="28"/>
      <c r="AA32" s="26">
        <f t="shared" si="0"/>
        <v>0</v>
      </c>
      <c r="AB32" s="27" t="e">
        <f>_xlfn.XLOOKUP($C:$C,'DT PPM'!$F:$F,'DT PPM'!$D:$D)</f>
        <v>#N/A</v>
      </c>
      <c r="AC32" s="27" t="e">
        <f>VLOOKUP(C32,'DT PPM'!$C$3:$E$1048576,3,0)</f>
        <v>#N/A</v>
      </c>
    </row>
    <row r="33" spans="1:31" x14ac:dyDescent="0.25">
      <c r="A33" s="39"/>
      <c r="B33" s="28" t="s">
        <v>61</v>
      </c>
      <c r="C33" s="37">
        <v>963728</v>
      </c>
      <c r="D33" s="28" t="s">
        <v>193</v>
      </c>
      <c r="E33" s="28" t="s">
        <v>137</v>
      </c>
      <c r="F33" s="28" t="s">
        <v>156</v>
      </c>
      <c r="G33" s="28" t="s">
        <v>157</v>
      </c>
      <c r="H33" s="28">
        <v>4524.8</v>
      </c>
      <c r="I33" s="28">
        <v>3040</v>
      </c>
      <c r="J33" s="28">
        <v>3040</v>
      </c>
      <c r="K33" s="28">
        <v>0.47299999999999998</v>
      </c>
      <c r="L33" s="28">
        <v>1.4379200000000001</v>
      </c>
      <c r="M33" s="28"/>
      <c r="N33" s="29"/>
      <c r="O33" s="28"/>
      <c r="P33" s="29"/>
      <c r="Q33" s="28"/>
      <c r="R33" s="29"/>
      <c r="S33" s="28"/>
      <c r="T33" s="29"/>
      <c r="U33" s="28"/>
      <c r="V33" s="29"/>
      <c r="W33" s="28"/>
      <c r="X33" s="29"/>
      <c r="Y33" s="28"/>
      <c r="Z33" s="28"/>
      <c r="AA33" s="26">
        <f t="shared" si="0"/>
        <v>0</v>
      </c>
      <c r="AB33" s="27" t="e">
        <f>_xlfn.XLOOKUP($C:$C,'DT PPM'!$F:$F,'DT PPM'!$D:$D)</f>
        <v>#N/A</v>
      </c>
      <c r="AC33" s="27" t="e">
        <f>VLOOKUP(C33,'DT PPM'!$C$3:$E$1048576,3,0)</f>
        <v>#N/A</v>
      </c>
    </row>
    <row r="34" spans="1:31" x14ac:dyDescent="0.25">
      <c r="A34" s="39"/>
      <c r="B34" s="28" t="s">
        <v>61</v>
      </c>
      <c r="C34" s="37">
        <v>963824</v>
      </c>
      <c r="D34" s="28" t="s">
        <v>341</v>
      </c>
      <c r="E34" s="28" t="s">
        <v>137</v>
      </c>
      <c r="F34" s="28" t="s">
        <v>342</v>
      </c>
      <c r="G34" s="28" t="s">
        <v>343</v>
      </c>
      <c r="H34" s="28">
        <v>2988</v>
      </c>
      <c r="I34" s="28">
        <v>520</v>
      </c>
      <c r="J34" s="28">
        <v>260</v>
      </c>
      <c r="K34" s="28">
        <v>1</v>
      </c>
      <c r="L34" s="28">
        <v>0.26</v>
      </c>
      <c r="M34" s="28"/>
      <c r="N34" s="29"/>
      <c r="O34" s="28"/>
      <c r="P34" s="29"/>
      <c r="Q34" s="28"/>
      <c r="R34" s="29"/>
      <c r="S34" s="28"/>
      <c r="T34" s="29"/>
      <c r="U34" s="28"/>
      <c r="V34" s="29"/>
      <c r="W34" s="28"/>
      <c r="X34" s="29"/>
      <c r="Y34" s="28"/>
      <c r="Z34" s="28"/>
      <c r="AA34" s="26">
        <f t="shared" si="0"/>
        <v>0</v>
      </c>
      <c r="AB34" s="27" t="e">
        <f>_xlfn.XLOOKUP($C:$C,'DT PPM'!$F:$F,'DT PPM'!$D:$D)</f>
        <v>#N/A</v>
      </c>
      <c r="AC34" s="27" t="e">
        <f>VLOOKUP(C34,'DT PPM'!$C$3:$E$1048576,3,0)</f>
        <v>#N/A</v>
      </c>
    </row>
    <row r="35" spans="1:31" x14ac:dyDescent="0.25">
      <c r="A35" s="39"/>
      <c r="B35" s="28" t="s">
        <v>61</v>
      </c>
      <c r="C35" s="37">
        <v>963833</v>
      </c>
      <c r="D35" s="28" t="s">
        <v>344</v>
      </c>
      <c r="E35" s="28" t="s">
        <v>137</v>
      </c>
      <c r="F35" s="28" t="s">
        <v>342</v>
      </c>
      <c r="G35" s="28" t="s">
        <v>343</v>
      </c>
      <c r="H35" s="28">
        <v>2988</v>
      </c>
      <c r="I35" s="28">
        <v>3465</v>
      </c>
      <c r="J35" s="28">
        <v>3465</v>
      </c>
      <c r="K35" s="28">
        <v>0.50360000000000005</v>
      </c>
      <c r="L35" s="28">
        <v>1.7449699999999999</v>
      </c>
      <c r="M35" s="28">
        <v>25</v>
      </c>
      <c r="N35" s="29">
        <v>1.3691</v>
      </c>
      <c r="O35" s="28">
        <v>56</v>
      </c>
      <c r="P35" s="29">
        <v>3.0668000000000002</v>
      </c>
      <c r="Q35" s="28">
        <v>81</v>
      </c>
      <c r="R35" s="29">
        <v>4.4359000000000002</v>
      </c>
      <c r="S35" s="28">
        <v>0</v>
      </c>
      <c r="T35" s="29">
        <v>0</v>
      </c>
      <c r="U35" s="28">
        <v>81</v>
      </c>
      <c r="V35" s="29">
        <v>4.4359000000000002</v>
      </c>
      <c r="W35" s="28">
        <v>0</v>
      </c>
      <c r="X35" s="29">
        <v>0</v>
      </c>
      <c r="Y35" s="28"/>
      <c r="Z35" s="28"/>
      <c r="AA35" s="26">
        <f t="shared" si="0"/>
        <v>0</v>
      </c>
      <c r="AB35" s="27" t="e">
        <f>_xlfn.XLOOKUP($C:$C,'DT PPM'!$F:$F,'DT PPM'!$D:$D)</f>
        <v>#N/A</v>
      </c>
      <c r="AC35" s="27" t="e">
        <f>VLOOKUP(C35,'DT PPM'!$C$3:$E$1048576,3,0)</f>
        <v>#N/A</v>
      </c>
    </row>
    <row r="36" spans="1:31" x14ac:dyDescent="0.25">
      <c r="A36" s="39"/>
      <c r="B36" s="28" t="s">
        <v>61</v>
      </c>
      <c r="C36" s="37">
        <v>963909</v>
      </c>
      <c r="D36" s="28" t="s">
        <v>345</v>
      </c>
      <c r="E36" s="28" t="s">
        <v>137</v>
      </c>
      <c r="F36" s="28" t="s">
        <v>342</v>
      </c>
      <c r="G36" s="28" t="s">
        <v>343</v>
      </c>
      <c r="H36" s="28" t="s">
        <v>437</v>
      </c>
      <c r="I36" s="28">
        <v>5040</v>
      </c>
      <c r="J36" s="28">
        <v>630</v>
      </c>
      <c r="K36" s="28">
        <v>4.08</v>
      </c>
      <c r="L36" s="28">
        <v>2.5703999999999998</v>
      </c>
      <c r="M36" s="28"/>
      <c r="N36" s="29"/>
      <c r="O36" s="28"/>
      <c r="P36" s="29"/>
      <c r="Q36" s="28"/>
      <c r="R36" s="29"/>
      <c r="S36" s="28"/>
      <c r="T36" s="29"/>
      <c r="U36" s="28"/>
      <c r="V36" s="29"/>
      <c r="W36" s="28"/>
      <c r="X36" s="29"/>
      <c r="Y36" s="28"/>
      <c r="Z36" s="28"/>
      <c r="AA36" s="26">
        <f t="shared" si="0"/>
        <v>0</v>
      </c>
      <c r="AB36" s="27" t="e">
        <f>_xlfn.XLOOKUP($C:$C,'DT PPM'!$F:$F,'DT PPM'!$D:$D)</f>
        <v>#N/A</v>
      </c>
      <c r="AC36" s="27" t="e">
        <f>VLOOKUP(C36,'DT PPM'!$C$3:$E$1048576,3,0)</f>
        <v>#N/A</v>
      </c>
    </row>
    <row r="37" spans="1:31" x14ac:dyDescent="0.25">
      <c r="A37" s="39"/>
      <c r="B37" s="28" t="s">
        <v>61</v>
      </c>
      <c r="C37" s="37">
        <v>964010</v>
      </c>
      <c r="D37" s="28" t="s">
        <v>196</v>
      </c>
      <c r="E37" s="28" t="s">
        <v>197</v>
      </c>
      <c r="F37" s="28" t="s">
        <v>161</v>
      </c>
      <c r="G37" s="28" t="s">
        <v>162</v>
      </c>
      <c r="H37" s="28" t="s">
        <v>427</v>
      </c>
      <c r="I37" s="28">
        <v>580</v>
      </c>
      <c r="J37" s="28">
        <v>58</v>
      </c>
      <c r="K37" s="28">
        <v>4.8357000000000001</v>
      </c>
      <c r="L37" s="28">
        <v>0.28047</v>
      </c>
      <c r="M37" s="28"/>
      <c r="N37" s="29"/>
      <c r="O37" s="28"/>
      <c r="P37" s="29"/>
      <c r="Q37" s="28"/>
      <c r="R37" s="29"/>
      <c r="S37" s="28"/>
      <c r="T37" s="29"/>
      <c r="U37" s="28"/>
      <c r="V37" s="29"/>
      <c r="W37" s="28"/>
      <c r="X37" s="29"/>
      <c r="Y37" s="28"/>
      <c r="Z37" s="28"/>
      <c r="AA37" s="26">
        <f t="shared" si="0"/>
        <v>0</v>
      </c>
      <c r="AB37" s="27" t="e">
        <f>_xlfn.XLOOKUP($C:$C,'DT PPM'!$F:$F,'DT PPM'!$D:$D)</f>
        <v>#N/A</v>
      </c>
      <c r="AC37" s="27" t="e">
        <f>VLOOKUP(C37,'DT PPM'!$C$3:$E$1048576,3,0)</f>
        <v>#N/A</v>
      </c>
    </row>
    <row r="38" spans="1:31" x14ac:dyDescent="0.25">
      <c r="A38" s="39"/>
      <c r="B38" s="28" t="s">
        <v>61</v>
      </c>
      <c r="C38" s="37">
        <v>9685</v>
      </c>
      <c r="D38" s="28" t="s">
        <v>200</v>
      </c>
      <c r="E38" s="28" t="s">
        <v>137</v>
      </c>
      <c r="F38" s="28" t="s">
        <v>201</v>
      </c>
      <c r="G38" s="28" t="s">
        <v>202</v>
      </c>
      <c r="H38" s="28"/>
      <c r="I38" s="28">
        <v>4080</v>
      </c>
      <c r="J38" s="28">
        <v>408</v>
      </c>
      <c r="K38" s="28">
        <v>0.91</v>
      </c>
      <c r="L38" s="28">
        <v>0.37128</v>
      </c>
      <c r="M38" s="28">
        <v>0</v>
      </c>
      <c r="N38" s="29">
        <v>0</v>
      </c>
      <c r="O38" s="28">
        <v>30</v>
      </c>
      <c r="P38" s="29">
        <v>7.476</v>
      </c>
      <c r="Q38" s="28">
        <v>30</v>
      </c>
      <c r="R38" s="29">
        <v>7.476</v>
      </c>
      <c r="S38" s="28">
        <v>0</v>
      </c>
      <c r="T38" s="29">
        <v>0</v>
      </c>
      <c r="U38" s="28">
        <v>30</v>
      </c>
      <c r="V38" s="29">
        <v>7.476</v>
      </c>
      <c r="W38" s="28">
        <v>0</v>
      </c>
      <c r="X38" s="29">
        <v>0</v>
      </c>
      <c r="Y38" s="28"/>
      <c r="Z38" s="28"/>
      <c r="AA38" s="26">
        <f t="shared" si="0"/>
        <v>0</v>
      </c>
      <c r="AB38" s="27" t="e">
        <f>_xlfn.XLOOKUP($C:$C,'DT PPM'!$F:$F,'DT PPM'!$D:$D)</f>
        <v>#N/A</v>
      </c>
      <c r="AC38" s="27" t="e">
        <f>VLOOKUP(C38,'DT PPM'!$C$3:$E$1048576,3,0)</f>
        <v>#N/A</v>
      </c>
    </row>
    <row r="39" spans="1:31" x14ac:dyDescent="0.25">
      <c r="A39" s="39"/>
      <c r="B39" s="28" t="s">
        <v>61</v>
      </c>
      <c r="C39" s="37">
        <v>29580</v>
      </c>
      <c r="D39" s="28" t="s">
        <v>106</v>
      </c>
      <c r="E39" s="28"/>
      <c r="F39" s="28"/>
      <c r="G39" s="28"/>
      <c r="H39" s="28"/>
      <c r="I39" s="28"/>
      <c r="J39" s="28"/>
      <c r="K39" s="28"/>
      <c r="L39" s="28"/>
      <c r="M39" s="28">
        <v>8</v>
      </c>
      <c r="N39" s="29">
        <v>100</v>
      </c>
      <c r="O39" s="28">
        <v>0</v>
      </c>
      <c r="P39" s="29">
        <v>0</v>
      </c>
      <c r="Q39" s="28">
        <v>8</v>
      </c>
      <c r="R39" s="29">
        <v>100</v>
      </c>
      <c r="S39" s="28">
        <v>0</v>
      </c>
      <c r="T39" s="29">
        <v>0</v>
      </c>
      <c r="U39" s="28">
        <v>8</v>
      </c>
      <c r="V39" s="29">
        <v>100</v>
      </c>
      <c r="W39" s="28">
        <v>0</v>
      </c>
      <c r="X39" s="29">
        <v>0</v>
      </c>
      <c r="Y39" s="28"/>
      <c r="Z39" s="28"/>
      <c r="AA39" s="26">
        <f t="shared" si="0"/>
        <v>0</v>
      </c>
      <c r="AB39" s="27" t="e">
        <f>_xlfn.XLOOKUP($C:$C,'DT PPM'!$F:$F,'DT PPM'!$D:$D)</f>
        <v>#N/A</v>
      </c>
      <c r="AC39" s="27" t="e">
        <f>VLOOKUP(C39,'DT PPM'!$C$3:$E$1048576,3,0)</f>
        <v>#N/A</v>
      </c>
    </row>
    <row r="40" spans="1:31" x14ac:dyDescent="0.25">
      <c r="B40" s="28" t="s">
        <v>61</v>
      </c>
      <c r="C40" s="37">
        <v>39707</v>
      </c>
      <c r="D40" s="28" t="s">
        <v>204</v>
      </c>
      <c r="E40" s="28"/>
      <c r="F40" s="28"/>
      <c r="G40" s="28"/>
      <c r="H40" s="28"/>
      <c r="I40" s="28"/>
      <c r="J40" s="28"/>
      <c r="K40" s="28"/>
      <c r="L40" s="28"/>
      <c r="M40" s="28">
        <v>17.91</v>
      </c>
      <c r="N40" s="29">
        <v>100</v>
      </c>
      <c r="O40" s="28">
        <v>0</v>
      </c>
      <c r="P40" s="29">
        <v>0</v>
      </c>
      <c r="Q40" s="28">
        <v>17.91</v>
      </c>
      <c r="R40" s="29">
        <v>100</v>
      </c>
      <c r="S40" s="28">
        <v>15</v>
      </c>
      <c r="T40" s="29">
        <v>83.751999999999995</v>
      </c>
      <c r="U40" s="28">
        <v>0</v>
      </c>
      <c r="V40" s="29"/>
      <c r="W40" s="28">
        <v>17.91</v>
      </c>
      <c r="X40" s="29">
        <v>100</v>
      </c>
      <c r="Y40" s="28"/>
      <c r="Z40" s="28"/>
      <c r="AA40" s="26">
        <f t="shared" si="0"/>
        <v>0</v>
      </c>
      <c r="AB40" s="27" t="e">
        <f>_xlfn.XLOOKUP($C:$C,'DT PPM'!$F:$F,'DT PPM'!$D:$D)</f>
        <v>#N/A</v>
      </c>
      <c r="AC40" s="27" t="e">
        <f>VLOOKUP(C40,'DT PPM'!$C$3:$E$1048576,3,0)</f>
        <v>#N/A</v>
      </c>
    </row>
    <row r="41" spans="1:31" x14ac:dyDescent="0.25">
      <c r="B41" s="28"/>
      <c r="C41" s="37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9"/>
      <c r="O41" s="28"/>
      <c r="P41" s="29"/>
      <c r="Q41" s="28"/>
      <c r="R41" s="29"/>
      <c r="S41" s="28"/>
      <c r="T41" s="29"/>
      <c r="U41" s="28"/>
      <c r="V41" s="29"/>
      <c r="W41" s="28"/>
      <c r="X41" s="29"/>
      <c r="Y41" s="28"/>
      <c r="Z41" s="28"/>
      <c r="AA41" s="26">
        <f t="shared" si="0"/>
        <v>0</v>
      </c>
      <c r="AB41" s="27">
        <f>_xlfn.XLOOKUP($C:$C,'DT PPM'!$F:$F,'DT PPM'!$D:$D)</f>
        <v>0</v>
      </c>
      <c r="AC41" s="27" t="e">
        <f>VLOOKUP(C41,'DT PPM'!$C$3:$E$1048576,3,0)</f>
        <v>#N/A</v>
      </c>
    </row>
    <row r="42" spans="1:31" x14ac:dyDescent="0.25">
      <c r="B42" s="30" t="s">
        <v>61</v>
      </c>
      <c r="C42" s="38" t="s">
        <v>28</v>
      </c>
      <c r="D42" s="30"/>
      <c r="E42" s="30"/>
      <c r="F42" s="30"/>
      <c r="G42" s="30"/>
      <c r="H42" s="30">
        <v>138961.54</v>
      </c>
      <c r="I42" s="30">
        <v>242606</v>
      </c>
      <c r="J42" s="30">
        <v>63588</v>
      </c>
      <c r="K42" s="30"/>
      <c r="L42" s="30">
        <v>75.206940000000003</v>
      </c>
      <c r="M42" s="30">
        <v>653.78</v>
      </c>
      <c r="N42" s="31">
        <v>0.85589999999999999</v>
      </c>
      <c r="O42" s="30">
        <v>517</v>
      </c>
      <c r="P42" s="31">
        <v>0.67679999999999996</v>
      </c>
      <c r="Q42" s="30">
        <v>1170.78</v>
      </c>
      <c r="R42" s="31">
        <v>1.5327999999999999</v>
      </c>
      <c r="S42" s="30">
        <v>522</v>
      </c>
      <c r="T42" s="31">
        <v>0.68340000000000001</v>
      </c>
      <c r="U42" s="30">
        <v>555</v>
      </c>
      <c r="V42" s="31">
        <v>0.73250000000000004</v>
      </c>
      <c r="W42" s="30">
        <v>615.78</v>
      </c>
      <c r="X42" s="31">
        <v>0.80620000000000003</v>
      </c>
      <c r="Y42" s="28"/>
      <c r="Z42" s="28"/>
      <c r="AA42" s="26">
        <f t="shared" si="0"/>
        <v>0</v>
      </c>
      <c r="AB42" s="27">
        <f>_xlfn.XLOOKUP($C:$C,'DT PPM'!$F:$F,'DT PPM'!$D:$D)</f>
        <v>0</v>
      </c>
      <c r="AC42" s="27">
        <f>VLOOKUP(C42,'DT PPM'!$C$3:$E$1048576,3,0)</f>
        <v>0</v>
      </c>
      <c r="AE42" s="27" t="s">
        <v>340</v>
      </c>
    </row>
    <row r="43" spans="1:31" x14ac:dyDescent="0.25">
      <c r="B43" s="28" t="s">
        <v>250</v>
      </c>
      <c r="C43" s="37">
        <v>27487</v>
      </c>
      <c r="D43" s="28" t="s">
        <v>252</v>
      </c>
      <c r="E43" s="28" t="s">
        <v>137</v>
      </c>
      <c r="F43" s="28" t="s">
        <v>253</v>
      </c>
      <c r="G43" s="28" t="s">
        <v>254</v>
      </c>
      <c r="H43" s="28" t="s">
        <v>438</v>
      </c>
      <c r="I43" s="28">
        <v>24564</v>
      </c>
      <c r="J43" s="28">
        <v>24564</v>
      </c>
      <c r="K43" s="28">
        <v>6.4799999999999996E-2</v>
      </c>
      <c r="L43" s="28">
        <v>1.5927199999999999</v>
      </c>
      <c r="M43" s="28">
        <v>70</v>
      </c>
      <c r="N43" s="29">
        <v>4.1923000000000004</v>
      </c>
      <c r="O43" s="28">
        <v>7</v>
      </c>
      <c r="P43" s="29">
        <v>0.41920000000000002</v>
      </c>
      <c r="Q43" s="28">
        <v>77</v>
      </c>
      <c r="R43" s="29">
        <v>4.6115000000000004</v>
      </c>
      <c r="S43" s="28">
        <v>70</v>
      </c>
      <c r="T43" s="29">
        <v>4.1923000000000004</v>
      </c>
      <c r="U43" s="28">
        <v>7</v>
      </c>
      <c r="V43" s="29">
        <v>0.4375</v>
      </c>
      <c r="W43" s="28">
        <v>70</v>
      </c>
      <c r="X43" s="29">
        <v>4.1923000000000004</v>
      </c>
      <c r="Y43" s="28"/>
      <c r="Z43" s="28"/>
      <c r="AA43" s="26">
        <f t="shared" si="0"/>
        <v>0</v>
      </c>
      <c r="AB43" s="27" t="e">
        <f>_xlfn.XLOOKUP($C:$C,'DT PPM'!$F:$F,'DT PPM'!$D:$D)</f>
        <v>#N/A</v>
      </c>
      <c r="AC43" s="27" t="e">
        <f>VLOOKUP(C43,'DT PPM'!$C$3:$E$1048576,3,0)</f>
        <v>#N/A</v>
      </c>
    </row>
    <row r="44" spans="1:31" x14ac:dyDescent="0.25">
      <c r="B44" s="28" t="s">
        <v>250</v>
      </c>
      <c r="C44" s="37">
        <v>963942</v>
      </c>
      <c r="D44" s="28" t="s">
        <v>263</v>
      </c>
      <c r="E44" s="28"/>
      <c r="F44" s="28" t="s">
        <v>264</v>
      </c>
      <c r="G44" s="28" t="s">
        <v>265</v>
      </c>
      <c r="H44" s="28" t="s">
        <v>428</v>
      </c>
      <c r="I44" s="28">
        <v>75840</v>
      </c>
      <c r="J44" s="28">
        <v>75840</v>
      </c>
      <c r="K44" s="28">
        <v>0.20419999999999999</v>
      </c>
      <c r="L44" s="28">
        <v>15.486520000000001</v>
      </c>
      <c r="M44" s="28">
        <v>104</v>
      </c>
      <c r="N44" s="29">
        <v>0.66359999999999997</v>
      </c>
      <c r="O44" s="28">
        <v>79.5</v>
      </c>
      <c r="P44" s="29">
        <v>0.50729999999999997</v>
      </c>
      <c r="Q44" s="28">
        <v>183.5</v>
      </c>
      <c r="R44" s="29">
        <v>1.171</v>
      </c>
      <c r="S44" s="28">
        <v>104</v>
      </c>
      <c r="T44" s="29">
        <v>0.66359999999999997</v>
      </c>
      <c r="U44" s="28">
        <v>79.5</v>
      </c>
      <c r="V44" s="29">
        <v>0.51070000000000004</v>
      </c>
      <c r="W44" s="28">
        <v>104</v>
      </c>
      <c r="X44" s="29">
        <v>0.66359999999999997</v>
      </c>
      <c r="Y44" s="28"/>
      <c r="Z44" s="28"/>
      <c r="AA44" s="26">
        <f t="shared" si="0"/>
        <v>0</v>
      </c>
      <c r="AB44" s="27" t="e">
        <f>_xlfn.XLOOKUP($C:$C,'DT PPM'!$F:$F,'DT PPM'!$D:$D)</f>
        <v>#N/A</v>
      </c>
      <c r="AC44" s="27" t="e">
        <f>VLOOKUP(C44,'DT PPM'!$C$3:$E$1048576,3,0)</f>
        <v>#N/A</v>
      </c>
    </row>
    <row r="45" spans="1:31" x14ac:dyDescent="0.25">
      <c r="B45" s="28"/>
      <c r="C45" s="37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9"/>
      <c r="O45" s="28"/>
      <c r="P45" s="29"/>
      <c r="Q45" s="28"/>
      <c r="R45" s="29"/>
      <c r="S45" s="28"/>
      <c r="T45" s="29"/>
      <c r="U45" s="28"/>
      <c r="V45" s="29"/>
      <c r="W45" s="28"/>
      <c r="X45" s="29"/>
      <c r="Y45" s="28"/>
      <c r="Z45" s="28"/>
      <c r="AA45" s="26">
        <f t="shared" si="0"/>
        <v>0</v>
      </c>
      <c r="AB45" s="27">
        <f>_xlfn.XLOOKUP($C:$C,'DT PPM'!$F:$F,'DT PPM'!$D:$D)</f>
        <v>0</v>
      </c>
      <c r="AC45" s="27" t="e">
        <f>VLOOKUP(C45,'DT PPM'!$C$3:$E$1048576,3,0)</f>
        <v>#N/A</v>
      </c>
    </row>
    <row r="46" spans="1:31" x14ac:dyDescent="0.25">
      <c r="A46" s="39"/>
      <c r="B46" s="28"/>
      <c r="C46" s="37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9"/>
      <c r="O46" s="28"/>
      <c r="P46" s="29"/>
      <c r="Q46" s="28"/>
      <c r="R46" s="29"/>
      <c r="S46" s="28"/>
      <c r="T46" s="29"/>
      <c r="U46" s="28"/>
      <c r="V46" s="29"/>
      <c r="W46" s="28"/>
      <c r="X46" s="29"/>
      <c r="Y46" s="28"/>
      <c r="Z46" s="28"/>
      <c r="AA46" s="26">
        <f t="shared" si="0"/>
        <v>0</v>
      </c>
      <c r="AB46" s="27">
        <f>_xlfn.XLOOKUP($C:$C,'DT PPM'!$F:$F,'DT PPM'!$D:$D)</f>
        <v>0</v>
      </c>
      <c r="AC46" s="27" t="e">
        <f>VLOOKUP(C46,'DT PPM'!$C$3:$E$1048576,3,0)</f>
        <v>#N/A</v>
      </c>
    </row>
    <row r="47" spans="1:31" x14ac:dyDescent="0.25">
      <c r="B47" s="30" t="s">
        <v>250</v>
      </c>
      <c r="C47" s="38" t="s">
        <v>28</v>
      </c>
      <c r="D47" s="30"/>
      <c r="E47" s="30"/>
      <c r="F47" s="30"/>
      <c r="G47" s="30"/>
      <c r="H47" s="30">
        <v>100296.69</v>
      </c>
      <c r="I47" s="30">
        <v>100404</v>
      </c>
      <c r="J47" s="30">
        <v>100404</v>
      </c>
      <c r="K47" s="30"/>
      <c r="L47" s="30">
        <v>17.079239999999999</v>
      </c>
      <c r="M47" s="30">
        <v>174</v>
      </c>
      <c r="N47" s="31">
        <v>1.0034000000000001</v>
      </c>
      <c r="O47" s="30">
        <v>86.5</v>
      </c>
      <c r="P47" s="31">
        <v>0.49880000000000002</v>
      </c>
      <c r="Q47" s="30">
        <v>260.5</v>
      </c>
      <c r="R47" s="31">
        <v>1.5023</v>
      </c>
      <c r="S47" s="30">
        <v>174</v>
      </c>
      <c r="T47" s="31">
        <v>1.0034000000000001</v>
      </c>
      <c r="U47" s="30">
        <v>86.5</v>
      </c>
      <c r="V47" s="31">
        <v>0.50390000000000001</v>
      </c>
      <c r="W47" s="30">
        <v>174</v>
      </c>
      <c r="X47" s="31">
        <v>1.0034000000000001</v>
      </c>
      <c r="Y47" s="28"/>
      <c r="Z47" s="28"/>
      <c r="AA47" s="26">
        <f t="shared" si="0"/>
        <v>0</v>
      </c>
      <c r="AB47" s="27">
        <f>_xlfn.XLOOKUP($C:$C,'DT PPM'!$F:$F,'DT PPM'!$D:$D)</f>
        <v>0</v>
      </c>
      <c r="AC47" s="27">
        <f>VLOOKUP(C47,'DT PPM'!$C$3:$E$1048576,3,0)</f>
        <v>0</v>
      </c>
    </row>
    <row r="48" spans="1:31" x14ac:dyDescent="0.25">
      <c r="A48" s="39"/>
      <c r="B48" s="28" t="s">
        <v>208</v>
      </c>
      <c r="C48" s="28">
        <v>1649</v>
      </c>
      <c r="D48" s="28" t="s">
        <v>210</v>
      </c>
      <c r="E48" s="28"/>
      <c r="F48" s="28" t="s">
        <v>211</v>
      </c>
      <c r="G48" s="28" t="s">
        <v>212</v>
      </c>
      <c r="H48" s="28" t="s">
        <v>439</v>
      </c>
      <c r="I48" s="28">
        <v>73920</v>
      </c>
      <c r="J48" s="28">
        <v>7392</v>
      </c>
      <c r="K48" s="28">
        <v>0.26100000000000001</v>
      </c>
      <c r="L48" s="28">
        <v>1.9293100000000001</v>
      </c>
      <c r="M48" s="28">
        <v>2.5</v>
      </c>
      <c r="N48" s="29">
        <v>0.12939999999999999</v>
      </c>
      <c r="O48" s="28">
        <v>0</v>
      </c>
      <c r="P48" s="29">
        <v>0</v>
      </c>
      <c r="Q48" s="28">
        <v>2.5</v>
      </c>
      <c r="R48" s="29">
        <v>0.12939999999999999</v>
      </c>
      <c r="S48" s="28">
        <v>1</v>
      </c>
      <c r="T48" s="29">
        <v>5.1700000000000003E-2</v>
      </c>
      <c r="U48" s="28">
        <v>1.5</v>
      </c>
      <c r="V48" s="29">
        <v>7.7600000000000002E-2</v>
      </c>
      <c r="W48" s="28">
        <v>1</v>
      </c>
      <c r="X48" s="29">
        <v>5.1700000000000003E-2</v>
      </c>
      <c r="Y48" s="28"/>
      <c r="Z48" s="28"/>
      <c r="AA48" s="26">
        <f t="shared" si="0"/>
        <v>0</v>
      </c>
      <c r="AB48" s="27" t="e">
        <f>_xlfn.XLOOKUP($C:$C,'DT PPM'!$F:$F,'DT PPM'!$D:$D)</f>
        <v>#N/A</v>
      </c>
      <c r="AC48" s="27" t="e">
        <f>VLOOKUP(C48,'DT PPM'!$C$3:$E$1048576,3,0)</f>
        <v>#N/A</v>
      </c>
    </row>
    <row r="49" spans="1:29" x14ac:dyDescent="0.25">
      <c r="A49" s="39"/>
      <c r="B49" s="28" t="s">
        <v>208</v>
      </c>
      <c r="C49" s="28">
        <v>26504</v>
      </c>
      <c r="D49" s="28" t="s">
        <v>214</v>
      </c>
      <c r="E49" s="28" t="s">
        <v>137</v>
      </c>
      <c r="F49" s="28" t="s">
        <v>215</v>
      </c>
      <c r="G49" s="28" t="s">
        <v>416</v>
      </c>
      <c r="H49" s="28" t="s">
        <v>440</v>
      </c>
      <c r="I49" s="28">
        <v>53970</v>
      </c>
      <c r="J49" s="28">
        <v>3598</v>
      </c>
      <c r="K49" s="28">
        <v>0.4672</v>
      </c>
      <c r="L49" s="28">
        <v>1.68116</v>
      </c>
      <c r="M49" s="28">
        <v>4.5</v>
      </c>
      <c r="N49" s="29">
        <v>0.26690000000000003</v>
      </c>
      <c r="O49" s="28">
        <v>0</v>
      </c>
      <c r="P49" s="29">
        <v>0</v>
      </c>
      <c r="Q49" s="28">
        <v>4.5</v>
      </c>
      <c r="R49" s="29">
        <v>0.26690000000000003</v>
      </c>
      <c r="S49" s="28">
        <v>1.5</v>
      </c>
      <c r="T49" s="29">
        <v>8.8900000000000007E-2</v>
      </c>
      <c r="U49" s="28">
        <v>3</v>
      </c>
      <c r="V49" s="29">
        <v>0.17810000000000001</v>
      </c>
      <c r="W49" s="28">
        <v>1.5</v>
      </c>
      <c r="X49" s="29">
        <v>8.8900000000000007E-2</v>
      </c>
      <c r="Y49" s="28"/>
      <c r="Z49" s="28"/>
      <c r="AA49" s="26">
        <f t="shared" si="0"/>
        <v>0</v>
      </c>
      <c r="AB49" s="27" t="e">
        <f>_xlfn.XLOOKUP($C:$C,'DT PPM'!$F:$F,'DT PPM'!$D:$D)</f>
        <v>#N/A</v>
      </c>
      <c r="AC49" s="27" t="e">
        <f>VLOOKUP(C49,'DT PPM'!$C$3:$E$1048576,3,0)</f>
        <v>#N/A</v>
      </c>
    </row>
    <row r="50" spans="1:29" x14ac:dyDescent="0.25">
      <c r="A50" s="39"/>
      <c r="B50" s="28" t="s">
        <v>208</v>
      </c>
      <c r="C50" s="28">
        <v>29074</v>
      </c>
      <c r="D50" s="28" t="s">
        <v>223</v>
      </c>
      <c r="E50" s="28" t="s">
        <v>137</v>
      </c>
      <c r="F50" s="28" t="s">
        <v>224</v>
      </c>
      <c r="G50" s="28" t="s">
        <v>225</v>
      </c>
      <c r="H50" s="28" t="s">
        <v>441</v>
      </c>
      <c r="I50" s="28">
        <v>117696</v>
      </c>
      <c r="J50" s="28">
        <v>14712</v>
      </c>
      <c r="K50" s="28">
        <v>0.2492</v>
      </c>
      <c r="L50" s="28">
        <v>3.6662300000000001</v>
      </c>
      <c r="M50" s="28">
        <v>7</v>
      </c>
      <c r="N50" s="29">
        <v>0.1905</v>
      </c>
      <c r="O50" s="28">
        <v>0</v>
      </c>
      <c r="P50" s="29">
        <v>0</v>
      </c>
      <c r="Q50" s="28">
        <v>7</v>
      </c>
      <c r="R50" s="29">
        <v>0.1905</v>
      </c>
      <c r="S50" s="28">
        <v>2.5</v>
      </c>
      <c r="T50" s="29">
        <v>6.8000000000000005E-2</v>
      </c>
      <c r="U50" s="28">
        <v>4.5</v>
      </c>
      <c r="V50" s="29">
        <v>0.1225</v>
      </c>
      <c r="W50" s="28">
        <v>2.5</v>
      </c>
      <c r="X50" s="29">
        <v>6.8000000000000005E-2</v>
      </c>
      <c r="Y50" s="28"/>
      <c r="Z50" s="28"/>
      <c r="AA50" s="26">
        <f t="shared" si="0"/>
        <v>0</v>
      </c>
      <c r="AB50" s="27" t="e">
        <f>_xlfn.XLOOKUP($C:$C,'DT PPM'!$F:$F,'DT PPM'!$D:$D)</f>
        <v>#N/A</v>
      </c>
      <c r="AC50" s="27" t="e">
        <f>VLOOKUP(C50,'DT PPM'!$C$3:$E$1048576,3,0)</f>
        <v>#N/A</v>
      </c>
    </row>
    <row r="51" spans="1:29" x14ac:dyDescent="0.25">
      <c r="A51" s="39"/>
      <c r="B51" s="28" t="s">
        <v>208</v>
      </c>
      <c r="C51" s="28">
        <v>49271</v>
      </c>
      <c r="D51" s="28" t="s">
        <v>228</v>
      </c>
      <c r="E51" s="28"/>
      <c r="F51" s="28" t="s">
        <v>229</v>
      </c>
      <c r="G51" s="28" t="s">
        <v>230</v>
      </c>
      <c r="H51" s="28" t="s">
        <v>429</v>
      </c>
      <c r="I51" s="28">
        <v>152064</v>
      </c>
      <c r="J51" s="28">
        <v>704</v>
      </c>
      <c r="K51" s="28">
        <v>6.6833999999999998</v>
      </c>
      <c r="L51" s="28">
        <v>4.7051100000000003</v>
      </c>
      <c r="M51" s="28">
        <v>17</v>
      </c>
      <c r="N51" s="29">
        <v>0.36</v>
      </c>
      <c r="O51" s="28">
        <v>0</v>
      </c>
      <c r="P51" s="29">
        <v>0</v>
      </c>
      <c r="Q51" s="28">
        <v>17</v>
      </c>
      <c r="R51" s="29">
        <v>0.36</v>
      </c>
      <c r="S51" s="28">
        <v>6</v>
      </c>
      <c r="T51" s="29">
        <v>0.127</v>
      </c>
      <c r="U51" s="28">
        <v>11</v>
      </c>
      <c r="V51" s="29">
        <v>0.23319999999999999</v>
      </c>
      <c r="W51" s="28">
        <v>6</v>
      </c>
      <c r="X51" s="29">
        <v>0.127</v>
      </c>
      <c r="Y51" s="28"/>
      <c r="Z51" s="28"/>
      <c r="AA51" s="26">
        <f t="shared" si="0"/>
        <v>0</v>
      </c>
      <c r="AB51" s="27" t="e">
        <f>_xlfn.XLOOKUP($C:$C,'DT PPM'!$F:$F,'DT PPM'!$D:$D)</f>
        <v>#N/A</v>
      </c>
      <c r="AC51" s="27" t="e">
        <f>VLOOKUP(C51,'DT PPM'!$C$3:$E$1048576,3,0)</f>
        <v>#N/A</v>
      </c>
    </row>
    <row r="52" spans="1:29" x14ac:dyDescent="0.25">
      <c r="A52" s="39"/>
      <c r="B52" s="28" t="s">
        <v>208</v>
      </c>
      <c r="C52" s="28">
        <v>500498</v>
      </c>
      <c r="D52" s="28" t="s">
        <v>233</v>
      </c>
      <c r="E52" s="28" t="s">
        <v>137</v>
      </c>
      <c r="F52" s="28" t="s">
        <v>215</v>
      </c>
      <c r="G52" s="28" t="s">
        <v>416</v>
      </c>
      <c r="H52" s="28">
        <v>58635.9</v>
      </c>
      <c r="I52" s="28">
        <v>6336</v>
      </c>
      <c r="J52" s="28">
        <v>288</v>
      </c>
      <c r="K52" s="28">
        <v>0.68530000000000002</v>
      </c>
      <c r="L52" s="28">
        <v>0.19736000000000001</v>
      </c>
      <c r="M52" s="28"/>
      <c r="N52" s="29"/>
      <c r="O52" s="28"/>
      <c r="P52" s="29"/>
      <c r="Q52" s="28"/>
      <c r="R52" s="29"/>
      <c r="S52" s="28"/>
      <c r="T52" s="29"/>
      <c r="U52" s="28"/>
      <c r="V52" s="29"/>
      <c r="W52" s="28"/>
      <c r="X52" s="29"/>
      <c r="Y52" s="28"/>
      <c r="Z52" s="28"/>
      <c r="AA52" s="26">
        <f t="shared" si="0"/>
        <v>0</v>
      </c>
      <c r="AB52" s="27" t="e">
        <f>_xlfn.XLOOKUP($C:$C,'DT PPM'!$F:$F,'DT PPM'!$D:$D)</f>
        <v>#N/A</v>
      </c>
      <c r="AC52" s="27" t="e">
        <f>VLOOKUP(C52,'DT PPM'!$C$3:$E$1048576,3,0)</f>
        <v>#N/A</v>
      </c>
    </row>
    <row r="53" spans="1:29" x14ac:dyDescent="0.25">
      <c r="A53" s="39"/>
      <c r="B53" s="28" t="s">
        <v>208</v>
      </c>
      <c r="C53" s="28">
        <v>5490</v>
      </c>
      <c r="D53" s="28" t="s">
        <v>236</v>
      </c>
      <c r="E53" s="28" t="s">
        <v>137</v>
      </c>
      <c r="F53" s="28" t="s">
        <v>237</v>
      </c>
      <c r="G53" s="28" t="s">
        <v>238</v>
      </c>
      <c r="H53" s="28" t="s">
        <v>430</v>
      </c>
      <c r="I53" s="28">
        <v>20160</v>
      </c>
      <c r="J53" s="28">
        <v>2520</v>
      </c>
      <c r="K53" s="28">
        <v>0.26340000000000002</v>
      </c>
      <c r="L53" s="28">
        <v>0.66386000000000001</v>
      </c>
      <c r="M53" s="28">
        <v>4.5</v>
      </c>
      <c r="N53" s="29">
        <v>0.67320000000000002</v>
      </c>
      <c r="O53" s="28">
        <v>0</v>
      </c>
      <c r="P53" s="29">
        <v>0</v>
      </c>
      <c r="Q53" s="28">
        <v>4.5</v>
      </c>
      <c r="R53" s="29">
        <v>0.67320000000000002</v>
      </c>
      <c r="S53" s="28">
        <v>1.5</v>
      </c>
      <c r="T53" s="29">
        <v>0.22439999999999999</v>
      </c>
      <c r="U53" s="28">
        <v>3</v>
      </c>
      <c r="V53" s="29">
        <v>0.44979999999999998</v>
      </c>
      <c r="W53" s="28">
        <v>1.5</v>
      </c>
      <c r="X53" s="29">
        <v>0.22439999999999999</v>
      </c>
      <c r="Y53" s="28"/>
      <c r="Z53" s="28"/>
      <c r="AA53" s="26">
        <f t="shared" si="0"/>
        <v>0</v>
      </c>
      <c r="AB53" s="27" t="e">
        <f>_xlfn.XLOOKUP($C:$C,'DT PPM'!$F:$F,'DT PPM'!$D:$D)</f>
        <v>#N/A</v>
      </c>
      <c r="AC53" s="27" t="e">
        <f>VLOOKUP(C53,'DT PPM'!$C$3:$E$1048576,3,0)</f>
        <v>#N/A</v>
      </c>
    </row>
    <row r="54" spans="1:29" x14ac:dyDescent="0.25">
      <c r="A54" s="39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9"/>
      <c r="O54" s="28"/>
      <c r="P54" s="29"/>
      <c r="Q54" s="28"/>
      <c r="R54" s="29"/>
      <c r="S54" s="28"/>
      <c r="T54" s="29"/>
      <c r="U54" s="28"/>
      <c r="V54" s="29"/>
      <c r="W54" s="28"/>
      <c r="X54" s="29"/>
      <c r="Y54" s="28"/>
      <c r="Z54" s="28"/>
      <c r="AA54" s="26">
        <f t="shared" si="0"/>
        <v>0</v>
      </c>
      <c r="AB54" s="27">
        <f>_xlfn.XLOOKUP($C:$C,'DT PPM'!$F:$F,'DT PPM'!$D:$D)</f>
        <v>0</v>
      </c>
      <c r="AC54" s="27" t="e">
        <f>VLOOKUP(C54,'DT PPM'!$C$3:$E$1048576,3,0)</f>
        <v>#N/A</v>
      </c>
    </row>
    <row r="55" spans="1:29" x14ac:dyDescent="0.25">
      <c r="A55" s="39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9"/>
      <c r="O55" s="28"/>
      <c r="P55" s="29"/>
      <c r="Q55" s="28"/>
      <c r="R55" s="29"/>
      <c r="S55" s="28"/>
      <c r="T55" s="29"/>
      <c r="U55" s="28"/>
      <c r="V55" s="29"/>
      <c r="W55" s="28"/>
      <c r="X55" s="29"/>
      <c r="Y55" s="28"/>
      <c r="Z55" s="28"/>
      <c r="AA55" s="26">
        <f t="shared" si="0"/>
        <v>0</v>
      </c>
      <c r="AB55" s="27">
        <f>_xlfn.XLOOKUP($C:$C,'DT PPM'!$F:$F,'DT PPM'!$D:$D)</f>
        <v>0</v>
      </c>
      <c r="AC55" s="27" t="e">
        <f>VLOOKUP(C55,'DT PPM'!$C$3:$E$1048576,3,0)</f>
        <v>#N/A</v>
      </c>
    </row>
    <row r="56" spans="1:29" x14ac:dyDescent="0.25">
      <c r="A56" s="39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9"/>
      <c r="O56" s="28"/>
      <c r="P56" s="29"/>
      <c r="Q56" s="28"/>
      <c r="R56" s="29"/>
      <c r="S56" s="28"/>
      <c r="T56" s="29"/>
      <c r="U56" s="28"/>
      <c r="V56" s="29"/>
      <c r="W56" s="28"/>
      <c r="X56" s="29"/>
      <c r="Y56" s="28"/>
      <c r="Z56" s="28"/>
      <c r="AA56" s="26">
        <f t="shared" si="0"/>
        <v>0</v>
      </c>
      <c r="AB56" s="27">
        <f>_xlfn.XLOOKUP($C:$C,'DT PPM'!$F:$F,'DT PPM'!$D:$D)</f>
        <v>0</v>
      </c>
      <c r="AC56" s="27" t="e">
        <f>VLOOKUP(C56,'DT PPM'!$C$3:$E$1048576,3,0)</f>
        <v>#N/A</v>
      </c>
    </row>
    <row r="57" spans="1:29" x14ac:dyDescent="0.25">
      <c r="A57" s="39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9"/>
      <c r="O57" s="28"/>
      <c r="P57" s="29"/>
      <c r="Q57" s="28"/>
      <c r="R57" s="29"/>
      <c r="S57" s="28"/>
      <c r="T57" s="29"/>
      <c r="U57" s="28"/>
      <c r="V57" s="29"/>
      <c r="W57" s="28"/>
      <c r="X57" s="29"/>
      <c r="Y57" s="28"/>
      <c r="Z57" s="28"/>
      <c r="AA57" s="26">
        <f t="shared" si="0"/>
        <v>0</v>
      </c>
      <c r="AB57" s="27">
        <f>_xlfn.XLOOKUP($C:$C,'DT PPM'!$F:$F,'DT PPM'!$D:$D)</f>
        <v>0</v>
      </c>
      <c r="AC57" s="27" t="e">
        <f>VLOOKUP(C57,'DT PPM'!$C$3:$E$1048576,3,0)</f>
        <v>#N/A</v>
      </c>
    </row>
    <row r="58" spans="1:29" x14ac:dyDescent="0.25">
      <c r="B58" s="30" t="s">
        <v>208</v>
      </c>
      <c r="C58" s="38" t="s">
        <v>28</v>
      </c>
      <c r="D58" s="30"/>
      <c r="E58" s="30"/>
      <c r="F58" s="30"/>
      <c r="G58" s="30"/>
      <c r="H58" s="30">
        <v>420874.98</v>
      </c>
      <c r="I58" s="30">
        <v>424146</v>
      </c>
      <c r="J58" s="30">
        <v>29214</v>
      </c>
      <c r="K58" s="30"/>
      <c r="L58" s="30">
        <v>12.843030000000001</v>
      </c>
      <c r="M58" s="30">
        <v>35.5</v>
      </c>
      <c r="N58" s="31">
        <v>0.27560000000000001</v>
      </c>
      <c r="O58" s="30">
        <v>0</v>
      </c>
      <c r="P58" s="31">
        <v>0</v>
      </c>
      <c r="Q58" s="30">
        <v>35.5</v>
      </c>
      <c r="R58" s="31">
        <v>0.27560000000000001</v>
      </c>
      <c r="S58" s="30">
        <v>12.5</v>
      </c>
      <c r="T58" s="31">
        <v>9.7000000000000003E-2</v>
      </c>
      <c r="U58" s="30">
        <v>23</v>
      </c>
      <c r="V58" s="31">
        <v>0.1787</v>
      </c>
      <c r="W58" s="30">
        <v>12.5</v>
      </c>
      <c r="X58" s="31">
        <v>9.7000000000000003E-2</v>
      </c>
      <c r="Y58" s="28"/>
      <c r="Z58" s="28"/>
      <c r="AA58" s="26">
        <f t="shared" si="0"/>
        <v>0</v>
      </c>
      <c r="AB58" s="27">
        <f>_xlfn.XLOOKUP($C:$C,'DT PPM'!$F:$F,'DT PPM'!$D:$D)</f>
        <v>0</v>
      </c>
      <c r="AC58" s="27">
        <f>VLOOKUP(C58,'DT PPM'!$C$3:$E$1048576,3,0)</f>
        <v>0</v>
      </c>
    </row>
    <row r="59" spans="1:29" x14ac:dyDescent="0.25">
      <c r="B59" s="30" t="s">
        <v>255</v>
      </c>
      <c r="C59" s="38" t="s">
        <v>28</v>
      </c>
      <c r="D59" s="30"/>
      <c r="E59" s="28"/>
      <c r="F59" s="30"/>
      <c r="G59" s="30"/>
      <c r="H59" s="30">
        <v>827338.19</v>
      </c>
      <c r="I59" s="30">
        <v>767156</v>
      </c>
      <c r="J59" s="30">
        <v>193206</v>
      </c>
      <c r="K59" s="30"/>
      <c r="L59" s="30">
        <v>105.12921</v>
      </c>
      <c r="M59" s="30">
        <v>863.28</v>
      </c>
      <c r="N59" s="31">
        <v>0.80979999999999996</v>
      </c>
      <c r="O59" s="30">
        <v>603.5</v>
      </c>
      <c r="P59" s="31">
        <v>0.56610000000000005</v>
      </c>
      <c r="Q59" s="30">
        <v>1466.78</v>
      </c>
      <c r="R59" s="31">
        <v>1.3759999999999999</v>
      </c>
      <c r="S59" s="30">
        <v>708.5</v>
      </c>
      <c r="T59" s="31">
        <v>0.66459999999999997</v>
      </c>
      <c r="U59" s="30">
        <v>664.5</v>
      </c>
      <c r="V59" s="31">
        <v>0.62809999999999999</v>
      </c>
      <c r="W59" s="30">
        <v>802.28</v>
      </c>
      <c r="X59" s="31">
        <v>0.75260000000000005</v>
      </c>
      <c r="Y59" s="28"/>
      <c r="Z59" s="28"/>
      <c r="AA59" s="26">
        <f t="shared" si="0"/>
        <v>0</v>
      </c>
      <c r="AB59" s="27">
        <f>_xlfn.XLOOKUP($C:$C,'DT PPM'!$F:$F,'DT PPM'!$D:$D)</f>
        <v>0</v>
      </c>
      <c r="AC59" s="27">
        <f>VLOOKUP(C59,'DT PPM'!$C$3:$E$1048576,3,0)</f>
        <v>0</v>
      </c>
    </row>
    <row r="61" spans="1:29" x14ac:dyDescent="0.25">
      <c r="N61" s="33"/>
      <c r="P61" s="33"/>
      <c r="R61" s="33"/>
      <c r="X61" s="44">
        <f>W59/Q59</f>
        <v>0.54696682529077301</v>
      </c>
    </row>
  </sheetData>
  <mergeCells count="6">
    <mergeCell ref="W1:X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F119-EF0E-4B33-A0B4-A9439EFEBC23}">
  <sheetPr>
    <tabColor rgb="FFFFC000"/>
  </sheetPr>
  <dimension ref="B1:AC62"/>
  <sheetViews>
    <sheetView showGridLines="0" zoomScaleNormal="100" workbookViewId="0">
      <pane xSplit="2" ySplit="2" topLeftCell="C27" activePane="bottomRight" state="frozen"/>
      <selection pane="topRight" activeCell="C1" sqref="C1"/>
      <selection pane="bottomLeft" activeCell="A3" sqref="A3"/>
      <selection pane="bottomRight" activeCell="B59" sqref="B59"/>
    </sheetView>
  </sheetViews>
  <sheetFormatPr baseColWidth="10" defaultColWidth="10.625" defaultRowHeight="13.5" x14ac:dyDescent="0.25"/>
  <cols>
    <col min="1" max="1" width="5.625" style="27" customWidth="1"/>
    <col min="2" max="2" width="12.625" style="26" bestFit="1" customWidth="1"/>
    <col min="3" max="3" width="8.5" style="26" bestFit="1" customWidth="1"/>
    <col min="4" max="4" width="37.5" style="26" bestFit="1" customWidth="1"/>
    <col min="5" max="5" width="5.625" style="26" customWidth="1"/>
    <col min="6" max="6" width="11.875" style="26" customWidth="1"/>
    <col min="7" max="7" width="36.375" style="26" customWidth="1"/>
    <col min="8" max="8" width="15.375" style="26" bestFit="1" customWidth="1"/>
    <col min="9" max="10" width="11.625" style="26" bestFit="1" customWidth="1"/>
    <col min="11" max="11" width="8.75" style="26" bestFit="1" customWidth="1"/>
    <col min="12" max="12" width="14.25" style="26" bestFit="1" customWidth="1"/>
    <col min="13" max="13" width="16.125" style="26" bestFit="1" customWidth="1"/>
    <col min="14" max="14" width="18.125" style="26" bestFit="1" customWidth="1"/>
    <col min="15" max="15" width="11.25" style="26" bestFit="1" customWidth="1"/>
    <col min="16" max="16" width="11.625" style="26" bestFit="1" customWidth="1"/>
    <col min="17" max="17" width="9.875" style="26" bestFit="1" customWidth="1"/>
    <col min="18" max="18" width="16.875" style="26" bestFit="1" customWidth="1"/>
    <col min="19" max="19" width="13.125" style="26" bestFit="1" customWidth="1"/>
    <col min="20" max="20" width="11.375" style="26" bestFit="1" customWidth="1"/>
    <col min="21" max="21" width="11.5" style="26" bestFit="1" customWidth="1"/>
    <col min="22" max="22" width="19.875" style="26" bestFit="1" customWidth="1"/>
    <col min="23" max="23" width="12.375" style="26" bestFit="1" customWidth="1"/>
    <col min="24" max="24" width="12.5" style="26" bestFit="1" customWidth="1"/>
    <col min="25" max="25" width="9.75" style="26" customWidth="1"/>
    <col min="26" max="26" width="11.25" style="26" bestFit="1" customWidth="1"/>
    <col min="27" max="27" width="7.375" style="26" bestFit="1" customWidth="1"/>
    <col min="28" max="28" width="15.625" style="26" bestFit="1" customWidth="1"/>
    <col min="29" max="29" width="7" style="26" bestFit="1" customWidth="1"/>
    <col min="30" max="16384" width="10.625" style="27"/>
  </cols>
  <sheetData>
    <row r="1" spans="2:29" ht="114.95" customHeight="1" x14ac:dyDescent="0.25">
      <c r="M1" s="120" t="s">
        <v>29</v>
      </c>
      <c r="N1" s="121"/>
      <c r="O1" s="122" t="s">
        <v>30</v>
      </c>
      <c r="P1" s="123"/>
      <c r="Q1" s="120" t="s">
        <v>31</v>
      </c>
      <c r="R1" s="121"/>
      <c r="S1" s="120" t="s">
        <v>32</v>
      </c>
      <c r="T1" s="121"/>
      <c r="U1" s="120" t="s">
        <v>33</v>
      </c>
      <c r="V1" s="121"/>
      <c r="W1" s="120" t="s">
        <v>34</v>
      </c>
      <c r="X1" s="121"/>
    </row>
    <row r="2" spans="2:29" ht="38.1" customHeight="1" x14ac:dyDescent="0.25">
      <c r="B2" s="19" t="s">
        <v>35</v>
      </c>
      <c r="C2" s="19" t="s">
        <v>36</v>
      </c>
      <c r="D2" s="19" t="s">
        <v>37</v>
      </c>
      <c r="E2" s="19" t="s">
        <v>38</v>
      </c>
      <c r="F2" s="19" t="s">
        <v>39</v>
      </c>
      <c r="G2" s="19" t="s">
        <v>40</v>
      </c>
      <c r="H2" s="19" t="s">
        <v>41</v>
      </c>
      <c r="I2" s="19" t="s">
        <v>42</v>
      </c>
      <c r="J2" s="19" t="s">
        <v>43</v>
      </c>
      <c r="K2" s="19" t="s">
        <v>44</v>
      </c>
      <c r="L2" s="19" t="s">
        <v>45</v>
      </c>
      <c r="M2" s="19" t="s">
        <v>46</v>
      </c>
      <c r="N2" s="19" t="s">
        <v>259</v>
      </c>
      <c r="O2" s="19" t="s">
        <v>48</v>
      </c>
      <c r="P2" s="19" t="s">
        <v>260</v>
      </c>
      <c r="Q2" s="19" t="s">
        <v>50</v>
      </c>
      <c r="R2" s="19" t="s">
        <v>261</v>
      </c>
      <c r="S2" s="19" t="s">
        <v>52</v>
      </c>
      <c r="T2" s="19" t="s">
        <v>53</v>
      </c>
      <c r="U2" s="19" t="s">
        <v>54</v>
      </c>
      <c r="V2" s="19" t="s">
        <v>262</v>
      </c>
      <c r="W2" s="19" t="s">
        <v>56</v>
      </c>
      <c r="X2" s="34" t="s">
        <v>57</v>
      </c>
      <c r="Y2" s="17"/>
      <c r="Z2" s="17"/>
      <c r="AA2" s="21" t="s">
        <v>58</v>
      </c>
      <c r="AB2" s="21" t="s">
        <v>59</v>
      </c>
      <c r="AC2" s="21" t="s">
        <v>60</v>
      </c>
    </row>
    <row r="3" spans="2:29" x14ac:dyDescent="0.25">
      <c r="B3" s="28" t="str">
        <f>PT!B3</f>
        <v>PAN BOLLERIA</v>
      </c>
      <c r="C3" s="28">
        <f>PT!C3</f>
        <v>987</v>
      </c>
      <c r="D3" s="28" t="str">
        <f>PT!D3</f>
        <v>Pan Super Perro 1p 405g Bolsa BIM</v>
      </c>
      <c r="E3" s="28">
        <f>PT!E3</f>
        <v>0</v>
      </c>
      <c r="F3" s="28" t="str">
        <f>PT!F3</f>
        <v>S944</v>
      </c>
      <c r="G3" s="28" t="str">
        <f>PT!G3</f>
        <v>MASA PAN SUPER PANCHO / PERRO</v>
      </c>
      <c r="H3" s="28">
        <f>PT!H3</f>
        <v>29607</v>
      </c>
      <c r="I3" s="28">
        <f>PT!I3</f>
        <v>11124</v>
      </c>
      <c r="J3" s="28">
        <f>PT!J3</f>
        <v>1854</v>
      </c>
      <c r="K3" s="28">
        <f>PT!K3</f>
        <v>0.41799999999999998</v>
      </c>
      <c r="L3" s="28">
        <f>PT!L3</f>
        <v>0.77497000000000005</v>
      </c>
      <c r="M3" s="28">
        <f>PT!M3</f>
        <v>39</v>
      </c>
      <c r="N3" s="29">
        <f>IFERROR((M3/((L3*1000)+Q3))*100,0)</f>
        <v>4.7446987116318109</v>
      </c>
      <c r="O3" s="28">
        <f>PT!O3</f>
        <v>8</v>
      </c>
      <c r="P3" s="29">
        <f t="shared" ref="P3" si="0">IFERROR(+((O3/((L3*1000)+Q3))*100),0)</f>
        <v>0.9732715305911408</v>
      </c>
      <c r="Q3" s="28">
        <f>PT!Q3</f>
        <v>47</v>
      </c>
      <c r="R3" s="29">
        <f t="shared" ref="R3" si="1">IFERROR((Q3/((L3*1000)+Q3))*100,0)</f>
        <v>5.7179702422229521</v>
      </c>
      <c r="S3" s="28">
        <f>PT!S3</f>
        <v>18</v>
      </c>
      <c r="T3" s="29">
        <f t="shared" ref="T3" si="2">IFERROR(((S3)/((L3*1000)+Q3))*100,0)</f>
        <v>2.1898609438300665</v>
      </c>
      <c r="U3" s="28">
        <f>PT!U3</f>
        <v>29</v>
      </c>
      <c r="V3" s="29">
        <f t="shared" ref="V3" si="3">IFERROR(((U3)/((L3*1000)+U3))*100,0)</f>
        <v>3.6070997674042564</v>
      </c>
      <c r="W3" s="28">
        <f>PT!W3</f>
        <v>18</v>
      </c>
      <c r="X3" s="29">
        <f t="shared" ref="X3" si="4">IFERROR(((W3)/((L3*1000)+Q3))*100,0)</f>
        <v>2.1898609438300665</v>
      </c>
      <c r="Y3" s="28"/>
      <c r="Z3" s="28"/>
      <c r="AA3" s="26">
        <f>IFERROR(IF(AC3=1,(I3*AC3),(I3*AC3)),0)</f>
        <v>0</v>
      </c>
      <c r="AB3" s="26">
        <f>IFERROR(_xlfn.XLOOKUP($C:$C,'DT PPM'!$F:$F,'DT PPM'!$D:$D),0)</f>
        <v>0</v>
      </c>
      <c r="AC3" s="26">
        <f>IFERROR(VLOOKUP(C3,'DT PPM'!$C$3:$E$1048576,3,0),0)</f>
        <v>0</v>
      </c>
    </row>
    <row r="4" spans="2:29" x14ac:dyDescent="0.25">
      <c r="B4" s="28" t="str">
        <f>PT!B4</f>
        <v>PAN BOLLERIA</v>
      </c>
      <c r="C4" s="28">
        <f>PT!C4</f>
        <v>23618</v>
      </c>
      <c r="D4" s="28" t="str">
        <f>PT!D4</f>
        <v>Pan Integral 1p 650g Bolsa BIM</v>
      </c>
      <c r="E4" s="28" t="str">
        <f>PT!E4</f>
        <v>EACH</v>
      </c>
      <c r="F4" s="28" t="str">
        <f>PT!F4</f>
        <v>S947</v>
      </c>
      <c r="G4" s="28" t="str">
        <f>PT!G4</f>
        <v>MASA PAN INTEGRAL 650G BIM</v>
      </c>
      <c r="H4" s="28" t="str">
        <f>PT!H4</f>
        <v>1565.80*</v>
      </c>
      <c r="I4" s="28">
        <f>PT!I4</f>
        <v>4392</v>
      </c>
      <c r="J4" s="28">
        <f>PT!J4</f>
        <v>4392</v>
      </c>
      <c r="K4" s="28">
        <f>PT!K4</f>
        <v>0.66659999999999997</v>
      </c>
      <c r="L4" s="28">
        <f>PT!L4</f>
        <v>2.9277000000000002</v>
      </c>
      <c r="M4" s="28">
        <f>PT!M4</f>
        <v>13</v>
      </c>
      <c r="N4" s="29">
        <f t="shared" ref="N4:N59" si="5">IFERROR((M4/((L4*1000)+Q4))*100,0)</f>
        <v>0.44207161560172747</v>
      </c>
      <c r="O4" s="28">
        <f>PT!O4</f>
        <v>0</v>
      </c>
      <c r="P4" s="29">
        <f t="shared" ref="P4:P59" si="6">IFERROR(+((O4/((L4*1000)+Q4))*100),0)</f>
        <v>0</v>
      </c>
      <c r="Q4" s="28">
        <f>PT!Q4</f>
        <v>13</v>
      </c>
      <c r="R4" s="29">
        <f t="shared" ref="R4:R59" si="7">IFERROR((Q4/((L4*1000)+Q4))*100,0)</f>
        <v>0.44207161560172747</v>
      </c>
      <c r="S4" s="28">
        <f>PT!S4</f>
        <v>13</v>
      </c>
      <c r="T4" s="29">
        <f t="shared" ref="T4:T59" si="8">IFERROR(((S4)/((L4*1000)+Q4))*100,0)</f>
        <v>0.44207161560172747</v>
      </c>
      <c r="U4" s="28">
        <f>PT!U4</f>
        <v>0</v>
      </c>
      <c r="V4" s="29">
        <f t="shared" ref="V4:V59" si="9">IFERROR(((U4)/((L4*1000)+U4))*100,0)</f>
        <v>0</v>
      </c>
      <c r="W4" s="28">
        <f>PT!W4</f>
        <v>13</v>
      </c>
      <c r="X4" s="29">
        <f t="shared" ref="X4:X59" si="10">IFERROR(((W4)/((L4*1000)+Q4))*100,0)</f>
        <v>0.44207161560172747</v>
      </c>
      <c r="Y4" s="28"/>
      <c r="Z4" s="28"/>
      <c r="AA4" s="26">
        <f t="shared" ref="AA4:AA59" si="11">IFERROR(IF(AC4=1,(I4*AC4),(I4*AC4)),0)</f>
        <v>0</v>
      </c>
      <c r="AB4" s="26">
        <f>IFERROR(_xlfn.XLOOKUP($C:$C,'DT PPM'!$F:$F,'DT PPM'!$D:$D),0)</f>
        <v>0</v>
      </c>
      <c r="AC4" s="26">
        <f>IFERROR(VLOOKUP(C4,'DT PPM'!$C$3:$E$1048576,3,0),0)</f>
        <v>0</v>
      </c>
    </row>
    <row r="5" spans="2:29" x14ac:dyDescent="0.25">
      <c r="B5" s="28" t="str">
        <f>PT!B5</f>
        <v>PAN BOLLERIA</v>
      </c>
      <c r="C5" s="28">
        <f>PT!C5</f>
        <v>23901</v>
      </c>
      <c r="D5" s="28" t="str">
        <f>PT!D5</f>
        <v>Pan Vital Fruticereal 1p 500g Bolsa BIM</v>
      </c>
      <c r="E5" s="28">
        <f>PT!E5</f>
        <v>0</v>
      </c>
      <c r="F5" s="28" t="str">
        <f>PT!F5</f>
        <v>S1541</v>
      </c>
      <c r="G5" s="28" t="str">
        <f>PT!G5</f>
        <v>MASA PAN 100% FRUTICEREAL</v>
      </c>
      <c r="H5" s="28">
        <f>PT!H5</f>
        <v>2450.1999999999998</v>
      </c>
      <c r="I5" s="28">
        <f>PT!I5</f>
        <v>2717</v>
      </c>
      <c r="J5" s="28">
        <f>PT!J5</f>
        <v>2717</v>
      </c>
      <c r="K5" s="28">
        <f>PT!K5</f>
        <v>0.51800000000000002</v>
      </c>
      <c r="L5" s="28">
        <f>PT!L5</f>
        <v>1.4074</v>
      </c>
      <c r="M5" s="28">
        <f>PT!M5</f>
        <v>24</v>
      </c>
      <c r="N5" s="29">
        <f t="shared" si="5"/>
        <v>1.552493692994372</v>
      </c>
      <c r="O5" s="28">
        <f>PT!O5</f>
        <v>114.5</v>
      </c>
      <c r="P5" s="29">
        <f t="shared" si="6"/>
        <v>7.4066886603273163</v>
      </c>
      <c r="Q5" s="28">
        <f>PT!Q5</f>
        <v>138.5</v>
      </c>
      <c r="R5" s="29">
        <f t="shared" si="7"/>
        <v>8.9591823533216886</v>
      </c>
      <c r="S5" s="28">
        <f>PT!S5</f>
        <v>0</v>
      </c>
      <c r="T5" s="29">
        <f t="shared" si="8"/>
        <v>0</v>
      </c>
      <c r="U5" s="28">
        <f>PT!U5</f>
        <v>138.5</v>
      </c>
      <c r="V5" s="29">
        <f t="shared" si="9"/>
        <v>8.9591823533216886</v>
      </c>
      <c r="W5" s="28">
        <f>PT!W5</f>
        <v>0</v>
      </c>
      <c r="X5" s="29">
        <f t="shared" si="10"/>
        <v>0</v>
      </c>
      <c r="Y5" s="28"/>
      <c r="Z5" s="28"/>
      <c r="AA5" s="26">
        <f t="shared" si="11"/>
        <v>0</v>
      </c>
      <c r="AB5" s="26">
        <f>IFERROR(_xlfn.XLOOKUP($C:$C,'DT PPM'!$F:$F,'DT PPM'!$D:$D),0)</f>
        <v>0</v>
      </c>
      <c r="AC5" s="26">
        <f>IFERROR(VLOOKUP(C5,'DT PPM'!$C$3:$E$1048576,3,0),0)</f>
        <v>0</v>
      </c>
    </row>
    <row r="6" spans="2:29" x14ac:dyDescent="0.25">
      <c r="B6" s="28" t="str">
        <f>PT!B6</f>
        <v>PAN BOLLERIA</v>
      </c>
      <c r="C6" s="28">
        <f>PT!C6</f>
        <v>26405</v>
      </c>
      <c r="D6" s="28" t="str">
        <f>PT!D6</f>
        <v>Duopack Pan Integral 1p 1300g Bolsa BIM</v>
      </c>
      <c r="E6" s="28">
        <f>PT!E6</f>
        <v>0</v>
      </c>
      <c r="F6" s="28">
        <f>PT!F6</f>
        <v>0</v>
      </c>
      <c r="G6" s="28">
        <f>PT!G6</f>
        <v>0</v>
      </c>
      <c r="H6" s="28">
        <f>PT!H6</f>
        <v>0</v>
      </c>
      <c r="I6" s="28">
        <f>PT!I6</f>
        <v>120</v>
      </c>
      <c r="J6" s="28">
        <f>PT!J6</f>
        <v>60</v>
      </c>
      <c r="K6" s="28">
        <f>PT!K6</f>
        <v>1.3331</v>
      </c>
      <c r="L6" s="28">
        <f>PT!L6</f>
        <v>7.9979999999999996E-2</v>
      </c>
      <c r="M6" s="28">
        <f>PT!M6</f>
        <v>0</v>
      </c>
      <c r="N6" s="29">
        <f t="shared" si="5"/>
        <v>0</v>
      </c>
      <c r="O6" s="28">
        <f>PT!O6</f>
        <v>0</v>
      </c>
      <c r="P6" s="29">
        <f t="shared" si="6"/>
        <v>0</v>
      </c>
      <c r="Q6" s="28">
        <f>PT!Q6</f>
        <v>0</v>
      </c>
      <c r="R6" s="29">
        <f t="shared" si="7"/>
        <v>0</v>
      </c>
      <c r="S6" s="28">
        <f>PT!S6</f>
        <v>0</v>
      </c>
      <c r="T6" s="29">
        <f t="shared" si="8"/>
        <v>0</v>
      </c>
      <c r="U6" s="28">
        <f>PT!U6</f>
        <v>0</v>
      </c>
      <c r="V6" s="29">
        <f t="shared" si="9"/>
        <v>0</v>
      </c>
      <c r="W6" s="28">
        <f>PT!W6</f>
        <v>0</v>
      </c>
      <c r="X6" s="29">
        <f t="shared" si="10"/>
        <v>0</v>
      </c>
      <c r="Y6" s="28"/>
      <c r="Z6" s="28"/>
      <c r="AA6" s="26">
        <f t="shared" si="11"/>
        <v>0</v>
      </c>
      <c r="AB6" s="26">
        <f>IFERROR(_xlfn.XLOOKUP($C:$C,'DT PPM'!$F:$F,'DT PPM'!$D:$D),0)</f>
        <v>0</v>
      </c>
      <c r="AC6" s="26">
        <f>IFERROR(VLOOKUP(C6,'DT PPM'!$C$3:$E$1048576,3,0),0)</f>
        <v>0</v>
      </c>
    </row>
    <row r="7" spans="2:29" x14ac:dyDescent="0.25">
      <c r="B7" s="28" t="str">
        <f>PT!B7</f>
        <v>PAN BOLLERIA</v>
      </c>
      <c r="C7" s="28">
        <f>PT!C7</f>
        <v>26474</v>
      </c>
      <c r="D7" s="28" t="str">
        <f>PT!D7</f>
        <v>Pan Leche 1p 550g Bolsa LAL</v>
      </c>
      <c r="E7" s="28">
        <f>PT!E7</f>
        <v>0</v>
      </c>
      <c r="F7" s="28" t="str">
        <f>PT!F7</f>
        <v>S1550</v>
      </c>
      <c r="G7" s="28" t="str">
        <f>PT!G7</f>
        <v>MASA PAN BLANCO 550G</v>
      </c>
      <c r="H7" s="28" t="str">
        <f>PT!H7</f>
        <v>7060.80*</v>
      </c>
      <c r="I7" s="28">
        <f>PT!I7</f>
        <v>2093</v>
      </c>
      <c r="J7" s="28">
        <f>PT!J7</f>
        <v>2093</v>
      </c>
      <c r="K7" s="28">
        <f>PT!K7</f>
        <v>0.57010000000000005</v>
      </c>
      <c r="L7" s="28">
        <f>PT!L7</f>
        <v>1.1932100000000001</v>
      </c>
      <c r="M7" s="28">
        <f>PT!M7</f>
        <v>43.56</v>
      </c>
      <c r="N7" s="29">
        <f t="shared" si="5"/>
        <v>3.3825916118561548</v>
      </c>
      <c r="O7" s="28">
        <f>PT!O7</f>
        <v>51</v>
      </c>
      <c r="P7" s="29">
        <f t="shared" si="6"/>
        <v>3.9603345317875087</v>
      </c>
      <c r="Q7" s="28">
        <f>PT!Q7</f>
        <v>94.56</v>
      </c>
      <c r="R7" s="29">
        <f t="shared" si="7"/>
        <v>7.3429261436436635</v>
      </c>
      <c r="S7" s="28">
        <f>PT!S7</f>
        <v>90</v>
      </c>
      <c r="T7" s="29">
        <f t="shared" si="8"/>
        <v>6.9888256443308983</v>
      </c>
      <c r="U7" s="28">
        <f>PT!U7</f>
        <v>0</v>
      </c>
      <c r="V7" s="29">
        <f t="shared" si="9"/>
        <v>0</v>
      </c>
      <c r="W7" s="28">
        <f>PT!W7</f>
        <v>94.56</v>
      </c>
      <c r="X7" s="29">
        <f t="shared" si="10"/>
        <v>7.3429261436436635</v>
      </c>
      <c r="Y7" s="28"/>
      <c r="Z7" s="28"/>
      <c r="AA7" s="26">
        <f t="shared" si="11"/>
        <v>0</v>
      </c>
      <c r="AB7" s="26">
        <f>IFERROR(_xlfn.XLOOKUP($C:$C,'DT PPM'!$F:$F,'DT PPM'!$D:$D),0)</f>
        <v>0</v>
      </c>
      <c r="AC7" s="26">
        <f>IFERROR(VLOOKUP(C7,'DT PPM'!$C$3:$E$1048576,3,0),0)</f>
        <v>0</v>
      </c>
    </row>
    <row r="8" spans="2:29" x14ac:dyDescent="0.25">
      <c r="B8" s="28" t="str">
        <f>PT!B8</f>
        <v>PAN BOLLERIA</v>
      </c>
      <c r="C8" s="28">
        <f>PT!C8</f>
        <v>26475</v>
      </c>
      <c r="D8" s="28" t="str">
        <f>PT!D8</f>
        <v>Pan Mantequilla 1p 550g Bolsa LAL</v>
      </c>
      <c r="E8" s="28">
        <f>PT!E8</f>
        <v>0</v>
      </c>
      <c r="F8" s="28" t="str">
        <f>PT!F8</f>
        <v>S1552</v>
      </c>
      <c r="G8" s="28" t="str">
        <f>PT!G8</f>
        <v>MASA PAN MATEQUILLA 550G</v>
      </c>
      <c r="H8" s="28" t="str">
        <f>PT!H8</f>
        <v>8788.00*</v>
      </c>
      <c r="I8" s="28">
        <f>PT!I8</f>
        <v>4417</v>
      </c>
      <c r="J8" s="28">
        <f>PT!J8</f>
        <v>4417</v>
      </c>
      <c r="K8" s="28">
        <f>PT!K8</f>
        <v>0.57010000000000005</v>
      </c>
      <c r="L8" s="28">
        <f>PT!L8</f>
        <v>2.5181300000000002</v>
      </c>
      <c r="M8" s="28">
        <f>PT!M8</f>
        <v>63.93</v>
      </c>
      <c r="N8" s="29">
        <f t="shared" si="5"/>
        <v>2.3642226873664045</v>
      </c>
      <c r="O8" s="28">
        <f>PT!O8</f>
        <v>122</v>
      </c>
      <c r="P8" s="29">
        <f t="shared" si="6"/>
        <v>4.5117342070812043</v>
      </c>
      <c r="Q8" s="28">
        <f>PT!Q8</f>
        <v>185.93</v>
      </c>
      <c r="R8" s="29">
        <f t="shared" si="7"/>
        <v>6.8759568944476088</v>
      </c>
      <c r="S8" s="28">
        <f>PT!S8</f>
        <v>125</v>
      </c>
      <c r="T8" s="29">
        <f t="shared" si="8"/>
        <v>4.6226784908618894</v>
      </c>
      <c r="U8" s="28">
        <f>PT!U8</f>
        <v>33</v>
      </c>
      <c r="V8" s="29">
        <f t="shared" si="9"/>
        <v>1.2935444293313159</v>
      </c>
      <c r="W8" s="28">
        <f>PT!W8</f>
        <v>152.93</v>
      </c>
      <c r="X8" s="29">
        <f t="shared" si="10"/>
        <v>5.65556977286007</v>
      </c>
      <c r="Y8" s="28"/>
      <c r="Z8" s="28"/>
      <c r="AA8" s="26">
        <f t="shared" si="11"/>
        <v>0</v>
      </c>
      <c r="AB8" s="26">
        <f>IFERROR(_xlfn.XLOOKUP($C:$C,'DT PPM'!$F:$F,'DT PPM'!$D:$D),0)</f>
        <v>0</v>
      </c>
      <c r="AC8" s="26">
        <f>IFERROR(VLOOKUP(C8,'DT PPM'!$C$3:$E$1048576,3,0),0)</f>
        <v>0</v>
      </c>
    </row>
    <row r="9" spans="2:29" x14ac:dyDescent="0.25">
      <c r="B9" s="28" t="str">
        <f>PT!B9</f>
        <v>PAN BOLLERIA</v>
      </c>
      <c r="C9" s="28">
        <f>PT!C9</f>
        <v>27031</v>
      </c>
      <c r="D9" s="28" t="str">
        <f>PT!D9</f>
        <v>Dpack Pan Fruticereal 1p 1000g Bolsa BIM</v>
      </c>
      <c r="E9" s="28">
        <f>PT!E9</f>
        <v>0</v>
      </c>
      <c r="F9" s="28">
        <f>PT!F9</f>
        <v>0</v>
      </c>
      <c r="G9" s="28">
        <f>PT!G9</f>
        <v>0</v>
      </c>
      <c r="H9" s="28">
        <f>PT!H9</f>
        <v>0</v>
      </c>
      <c r="I9" s="28">
        <f>PT!I9</f>
        <v>260</v>
      </c>
      <c r="J9" s="28">
        <f>PT!J9</f>
        <v>130</v>
      </c>
      <c r="K9" s="28">
        <f>PT!K9</f>
        <v>1.036</v>
      </c>
      <c r="L9" s="28">
        <f>PT!L9</f>
        <v>0.13467999999999999</v>
      </c>
      <c r="M9" s="28">
        <f>PT!M9</f>
        <v>0</v>
      </c>
      <c r="N9" s="29">
        <f t="shared" si="5"/>
        <v>0</v>
      </c>
      <c r="O9" s="28">
        <f>PT!O9</f>
        <v>0</v>
      </c>
      <c r="P9" s="29">
        <f t="shared" si="6"/>
        <v>0</v>
      </c>
      <c r="Q9" s="28">
        <f>PT!Q9</f>
        <v>0</v>
      </c>
      <c r="R9" s="29">
        <f t="shared" si="7"/>
        <v>0</v>
      </c>
      <c r="S9" s="28">
        <f>PT!S9</f>
        <v>0</v>
      </c>
      <c r="T9" s="29">
        <f t="shared" si="8"/>
        <v>0</v>
      </c>
      <c r="U9" s="28">
        <f>PT!U9</f>
        <v>0</v>
      </c>
      <c r="V9" s="29">
        <f t="shared" si="9"/>
        <v>0</v>
      </c>
      <c r="W9" s="28">
        <f>PT!W9</f>
        <v>0</v>
      </c>
      <c r="X9" s="29">
        <f t="shared" si="10"/>
        <v>0</v>
      </c>
      <c r="Y9" s="28"/>
      <c r="Z9" s="28"/>
      <c r="AA9" s="26">
        <f t="shared" si="11"/>
        <v>0</v>
      </c>
      <c r="AB9" s="26">
        <f>IFERROR(_xlfn.XLOOKUP($C:$C,'DT PPM'!$F:$F,'DT PPM'!$D:$D),0)</f>
        <v>0</v>
      </c>
      <c r="AC9" s="26">
        <f>IFERROR(VLOOKUP(C9,'DT PPM'!$C$3:$E$1048576,3,0),0)</f>
        <v>0</v>
      </c>
    </row>
    <row r="10" spans="2:29" x14ac:dyDescent="0.25">
      <c r="B10" s="28" t="str">
        <f>PT!B10</f>
        <v>PAN BOLLERIA</v>
      </c>
      <c r="C10" s="28">
        <f>PT!C10</f>
        <v>28632</v>
      </c>
      <c r="D10" s="28" t="str">
        <f>PT!D10</f>
        <v>Pan Mantequilla 1p 600g Bolsa BIM</v>
      </c>
      <c r="E10" s="28">
        <f>PT!E10</f>
        <v>0</v>
      </c>
      <c r="F10" s="28" t="str">
        <f>PT!F10</f>
        <v>S1557</v>
      </c>
      <c r="G10" s="28" t="str">
        <f>PT!G10</f>
        <v>MASA PAN MANTEQUILLA 600G</v>
      </c>
      <c r="H10" s="28">
        <f>PT!H10</f>
        <v>823.5</v>
      </c>
      <c r="I10" s="28">
        <f>PT!I10</f>
        <v>3448</v>
      </c>
      <c r="J10" s="28">
        <f>PT!J10</f>
        <v>3448</v>
      </c>
      <c r="K10" s="28">
        <f>PT!K10</f>
        <v>0.61799999999999999</v>
      </c>
      <c r="L10" s="28">
        <f>PT!L10</f>
        <v>2.1308600000000002</v>
      </c>
      <c r="M10" s="28">
        <f>PT!M10</f>
        <v>21</v>
      </c>
      <c r="N10" s="29">
        <f t="shared" si="5"/>
        <v>0.97589991913972096</v>
      </c>
      <c r="O10" s="28">
        <f>PT!O10</f>
        <v>0</v>
      </c>
      <c r="P10" s="29">
        <f t="shared" si="6"/>
        <v>0</v>
      </c>
      <c r="Q10" s="28">
        <f>PT!Q10</f>
        <v>21</v>
      </c>
      <c r="R10" s="29">
        <f t="shared" si="7"/>
        <v>0.97589991913972096</v>
      </c>
      <c r="S10" s="28">
        <f>PT!S10</f>
        <v>21</v>
      </c>
      <c r="T10" s="29">
        <f t="shared" si="8"/>
        <v>0.97589991913972096</v>
      </c>
      <c r="U10" s="28">
        <f>PT!U10</f>
        <v>0</v>
      </c>
      <c r="V10" s="29">
        <f t="shared" si="9"/>
        <v>0</v>
      </c>
      <c r="W10" s="28">
        <f>PT!W10</f>
        <v>21</v>
      </c>
      <c r="X10" s="29">
        <f t="shared" si="10"/>
        <v>0.97589991913972096</v>
      </c>
      <c r="Y10" s="28"/>
      <c r="Z10" s="28"/>
      <c r="AA10" s="26">
        <f t="shared" si="11"/>
        <v>0</v>
      </c>
      <c r="AB10" s="26">
        <f>IFERROR(_xlfn.XLOOKUP($C:$C,'DT PPM'!$F:$F,'DT PPM'!$D:$D),0)</f>
        <v>0</v>
      </c>
      <c r="AC10" s="26">
        <f>IFERROR(VLOOKUP(C10,'DT PPM'!$C$3:$E$1048576,3,0),0)</f>
        <v>0</v>
      </c>
    </row>
    <row r="11" spans="2:29" x14ac:dyDescent="0.25">
      <c r="B11" s="28" t="str">
        <f>PT!B11</f>
        <v>PAN BOLLERIA</v>
      </c>
      <c r="C11" s="28">
        <f>PT!C11</f>
        <v>29076</v>
      </c>
      <c r="D11" s="28" t="str">
        <f>PT!D11</f>
        <v>Pan Super Perro 12p 4860g CJA BIM</v>
      </c>
      <c r="E11" s="28">
        <f>PT!E11</f>
        <v>0</v>
      </c>
      <c r="F11" s="28" t="str">
        <f>PT!F11</f>
        <v>S944</v>
      </c>
      <c r="G11" s="28" t="str">
        <f>PT!G11</f>
        <v>MASA PAN SUPER PANCHO / PERRO</v>
      </c>
      <c r="H11" s="28">
        <f>PT!H11</f>
        <v>29607</v>
      </c>
      <c r="I11" s="28">
        <f>PT!I11</f>
        <v>10080</v>
      </c>
      <c r="J11" s="28">
        <f>PT!J11</f>
        <v>140</v>
      </c>
      <c r="K11" s="28">
        <f>PT!K11</f>
        <v>5.016</v>
      </c>
      <c r="L11" s="28">
        <f>PT!L11</f>
        <v>0.70223999999999998</v>
      </c>
      <c r="M11" s="28">
        <f>PT!M11</f>
        <v>0</v>
      </c>
      <c r="N11" s="29">
        <f t="shared" si="5"/>
        <v>0</v>
      </c>
      <c r="O11" s="28">
        <f>PT!O11</f>
        <v>0</v>
      </c>
      <c r="P11" s="29">
        <f t="shared" si="6"/>
        <v>0</v>
      </c>
      <c r="Q11" s="28">
        <f>PT!Q11</f>
        <v>0</v>
      </c>
      <c r="R11" s="29">
        <f t="shared" si="7"/>
        <v>0</v>
      </c>
      <c r="S11" s="28">
        <f>PT!S11</f>
        <v>0</v>
      </c>
      <c r="T11" s="29">
        <f t="shared" si="8"/>
        <v>0</v>
      </c>
      <c r="U11" s="28">
        <f>PT!U11</f>
        <v>0</v>
      </c>
      <c r="V11" s="29">
        <f t="shared" si="9"/>
        <v>0</v>
      </c>
      <c r="W11" s="28">
        <f>PT!W11</f>
        <v>0</v>
      </c>
      <c r="X11" s="29">
        <f t="shared" si="10"/>
        <v>0</v>
      </c>
      <c r="Y11" s="28"/>
      <c r="Z11" s="28"/>
      <c r="AA11" s="26">
        <f t="shared" si="11"/>
        <v>0</v>
      </c>
      <c r="AB11" s="26">
        <f>IFERROR(_xlfn.XLOOKUP($C:$C,'DT PPM'!$F:$F,'DT PPM'!$D:$D),0)</f>
        <v>0</v>
      </c>
      <c r="AC11" s="26">
        <f>IFERROR(VLOOKUP(C11,'DT PPM'!$C$3:$E$1048576,3,0),0)</f>
        <v>0</v>
      </c>
    </row>
    <row r="12" spans="2:29" x14ac:dyDescent="0.25">
      <c r="B12" s="28" t="str">
        <f>PT!B12</f>
        <v>PAN BOLLERIA</v>
      </c>
      <c r="C12" s="28">
        <f>PT!C12</f>
        <v>29434</v>
      </c>
      <c r="D12" s="28" t="str">
        <f>PT!D12</f>
        <v>Pan Super Hamburguesa 12p 4200g CJA BIM</v>
      </c>
      <c r="E12" s="28" t="str">
        <f>PT!E12</f>
        <v>cg</v>
      </c>
      <c r="F12" s="28" t="str">
        <f>PT!F12</f>
        <v>S1088</v>
      </c>
      <c r="G12" s="28" t="str">
        <f>PT!G12</f>
        <v>MASA HAMBURGUESA 5" -2-</v>
      </c>
      <c r="H12" s="28">
        <f>PT!H12</f>
        <v>3570.04</v>
      </c>
      <c r="I12" s="28">
        <f>PT!I12</f>
        <v>11760</v>
      </c>
      <c r="J12" s="28">
        <f>PT!J12</f>
        <v>245</v>
      </c>
      <c r="K12" s="28">
        <f>PT!K12</f>
        <v>4.4039999999999999</v>
      </c>
      <c r="L12" s="28">
        <f>PT!L12</f>
        <v>1.0789800000000001</v>
      </c>
      <c r="M12" s="28">
        <f>PT!M12</f>
        <v>0</v>
      </c>
      <c r="N12" s="29">
        <f t="shared" si="5"/>
        <v>0</v>
      </c>
      <c r="O12" s="28">
        <f>PT!O12</f>
        <v>0</v>
      </c>
      <c r="P12" s="29">
        <f t="shared" si="6"/>
        <v>0</v>
      </c>
      <c r="Q12" s="28">
        <f>PT!Q12</f>
        <v>0</v>
      </c>
      <c r="R12" s="29">
        <f t="shared" si="7"/>
        <v>0</v>
      </c>
      <c r="S12" s="28">
        <f>PT!S12</f>
        <v>0</v>
      </c>
      <c r="T12" s="29">
        <f t="shared" si="8"/>
        <v>0</v>
      </c>
      <c r="U12" s="28">
        <f>PT!U12</f>
        <v>0</v>
      </c>
      <c r="V12" s="29">
        <f t="shared" si="9"/>
        <v>0</v>
      </c>
      <c r="W12" s="28">
        <f>PT!W12</f>
        <v>0</v>
      </c>
      <c r="X12" s="29">
        <f t="shared" si="10"/>
        <v>0</v>
      </c>
      <c r="Y12" s="28"/>
      <c r="Z12" s="28"/>
      <c r="AA12" s="26">
        <f t="shared" si="11"/>
        <v>0</v>
      </c>
      <c r="AB12" s="26">
        <f>IFERROR(_xlfn.XLOOKUP($C:$C,'DT PPM'!$F:$F,'DT PPM'!$D:$D),0)</f>
        <v>0</v>
      </c>
      <c r="AC12" s="26">
        <f>IFERROR(VLOOKUP(C12,'DT PPM'!$C$3:$E$1048576,3,0),0)</f>
        <v>0</v>
      </c>
    </row>
    <row r="13" spans="2:29" x14ac:dyDescent="0.25">
      <c r="B13" s="28" t="str">
        <f>PT!B13</f>
        <v>PAN BOLLERIA</v>
      </c>
      <c r="C13" s="28">
        <f>PT!C13</f>
        <v>41647</v>
      </c>
      <c r="D13" s="28" t="str">
        <f>PT!D13</f>
        <v>Pan Mantequilla 12p 6600g CJA LAL</v>
      </c>
      <c r="E13" s="28" t="str">
        <f>PT!E13</f>
        <v>cg</v>
      </c>
      <c r="F13" s="28" t="str">
        <f>PT!F13</f>
        <v>S1552</v>
      </c>
      <c r="G13" s="28" t="str">
        <f>PT!G13</f>
        <v>MASA PAN MATEQUILLA 550G</v>
      </c>
      <c r="H13" s="28">
        <f>PT!H13</f>
        <v>8788</v>
      </c>
      <c r="I13" s="28">
        <f>PT!I13</f>
        <v>10080</v>
      </c>
      <c r="J13" s="28">
        <f>PT!J13</f>
        <v>840</v>
      </c>
      <c r="K13" s="28">
        <f>PT!K13</f>
        <v>6.8414000000000001</v>
      </c>
      <c r="L13" s="28">
        <f>PT!L13</f>
        <v>5.7467699999999997</v>
      </c>
      <c r="M13" s="28">
        <f>PT!M13</f>
        <v>0</v>
      </c>
      <c r="N13" s="29">
        <f t="shared" si="5"/>
        <v>0</v>
      </c>
      <c r="O13" s="28">
        <f>PT!O13</f>
        <v>0</v>
      </c>
      <c r="P13" s="29">
        <f t="shared" si="6"/>
        <v>0</v>
      </c>
      <c r="Q13" s="28">
        <f>PT!Q13</f>
        <v>0</v>
      </c>
      <c r="R13" s="29">
        <f t="shared" si="7"/>
        <v>0</v>
      </c>
      <c r="S13" s="28">
        <f>PT!S13</f>
        <v>0</v>
      </c>
      <c r="T13" s="29">
        <f t="shared" si="8"/>
        <v>0</v>
      </c>
      <c r="U13" s="28">
        <f>PT!U13</f>
        <v>0</v>
      </c>
      <c r="V13" s="29">
        <f t="shared" si="9"/>
        <v>0</v>
      </c>
      <c r="W13" s="28">
        <f>PT!W13</f>
        <v>0</v>
      </c>
      <c r="X13" s="29">
        <f t="shared" si="10"/>
        <v>0</v>
      </c>
      <c r="Y13" s="28"/>
      <c r="Z13" s="28"/>
      <c r="AA13" s="26">
        <f t="shared" si="11"/>
        <v>0</v>
      </c>
      <c r="AB13" s="26">
        <f>IFERROR(_xlfn.XLOOKUP($C:$C,'DT PPM'!$F:$F,'DT PPM'!$D:$D),0)</f>
        <v>0</v>
      </c>
      <c r="AC13" s="26">
        <f>IFERROR(VLOOKUP(C13,'DT PPM'!$C$3:$E$1048576,3,0),0)</f>
        <v>0</v>
      </c>
    </row>
    <row r="14" spans="2:29" x14ac:dyDescent="0.25">
      <c r="B14" s="28" t="str">
        <f>PT!B14</f>
        <v>PAN BOLLERIA</v>
      </c>
      <c r="C14" s="28">
        <f>PT!C14</f>
        <v>41648</v>
      </c>
      <c r="D14" s="28" t="str">
        <f>PT!D14</f>
        <v>Pan Leche 12p 6600g CJA LAL</v>
      </c>
      <c r="E14" s="28" t="str">
        <f>PT!E14</f>
        <v>cg</v>
      </c>
      <c r="F14" s="28" t="str">
        <f>PT!F14</f>
        <v>S1550</v>
      </c>
      <c r="G14" s="28" t="str">
        <f>PT!G14</f>
        <v>MASA PAN BLANCO 550G</v>
      </c>
      <c r="H14" s="28">
        <f>PT!H14</f>
        <v>7060.8</v>
      </c>
      <c r="I14" s="28">
        <f>PT!I14</f>
        <v>7980</v>
      </c>
      <c r="J14" s="28">
        <f>PT!J14</f>
        <v>665</v>
      </c>
      <c r="K14" s="28">
        <f>PT!K14</f>
        <v>6.8414000000000001</v>
      </c>
      <c r="L14" s="28">
        <f>PT!L14</f>
        <v>4.5495299999999999</v>
      </c>
      <c r="M14" s="28">
        <f>PT!M14</f>
        <v>0</v>
      </c>
      <c r="N14" s="29">
        <f t="shared" si="5"/>
        <v>0</v>
      </c>
      <c r="O14" s="28">
        <f>PT!O14</f>
        <v>0</v>
      </c>
      <c r="P14" s="29">
        <f t="shared" si="6"/>
        <v>0</v>
      </c>
      <c r="Q14" s="28">
        <f>PT!Q14</f>
        <v>0</v>
      </c>
      <c r="R14" s="29">
        <f t="shared" si="7"/>
        <v>0</v>
      </c>
      <c r="S14" s="28">
        <f>PT!S14</f>
        <v>0</v>
      </c>
      <c r="T14" s="29">
        <f t="shared" si="8"/>
        <v>0</v>
      </c>
      <c r="U14" s="28">
        <f>PT!U14</f>
        <v>0</v>
      </c>
      <c r="V14" s="29">
        <f t="shared" si="9"/>
        <v>0</v>
      </c>
      <c r="W14" s="28">
        <f>PT!W14</f>
        <v>0</v>
      </c>
      <c r="X14" s="29">
        <f t="shared" si="10"/>
        <v>0</v>
      </c>
      <c r="Y14" s="28"/>
      <c r="Z14" s="28"/>
      <c r="AA14" s="26">
        <f t="shared" si="11"/>
        <v>0</v>
      </c>
      <c r="AB14" s="26">
        <f>IFERROR(_xlfn.XLOOKUP($C:$C,'DT PPM'!$F:$F,'DT PPM'!$D:$D),0)</f>
        <v>0</v>
      </c>
      <c r="AC14" s="26">
        <f>IFERROR(VLOOKUP(C14,'DT PPM'!$C$3:$E$1048576,3,0),0)</f>
        <v>0</v>
      </c>
    </row>
    <row r="15" spans="2:29" x14ac:dyDescent="0.25">
      <c r="B15" s="28" t="str">
        <f>PT!B15</f>
        <v>PAN BOLLERIA</v>
      </c>
      <c r="C15" s="28">
        <f>PT!C15</f>
        <v>41649</v>
      </c>
      <c r="D15" s="28" t="str">
        <f>PT!D15</f>
        <v>Pan Integral 12p 6840g CJA LAL</v>
      </c>
      <c r="E15" s="28">
        <f>PT!E15</f>
        <v>0</v>
      </c>
      <c r="F15" s="28" t="str">
        <f>PT!F15</f>
        <v>S1566</v>
      </c>
      <c r="G15" s="28" t="str">
        <f>PT!G15</f>
        <v>MASA PAN INTEGRAL 570G</v>
      </c>
      <c r="H15" s="28" t="str">
        <f>PT!H15</f>
        <v>3546.80*</v>
      </c>
      <c r="I15" s="28">
        <f>PT!I15</f>
        <v>4452</v>
      </c>
      <c r="J15" s="28">
        <f>PT!J15</f>
        <v>371</v>
      </c>
      <c r="K15" s="28">
        <f>PT!K15</f>
        <v>6.9696999999999996</v>
      </c>
      <c r="L15" s="28">
        <f>PT!L15</f>
        <v>2.58575</v>
      </c>
      <c r="M15" s="28">
        <f>PT!M15</f>
        <v>8</v>
      </c>
      <c r="N15" s="29">
        <f t="shared" si="5"/>
        <v>0.30843373493975901</v>
      </c>
      <c r="O15" s="28">
        <f>PT!O15</f>
        <v>0</v>
      </c>
      <c r="P15" s="29">
        <f t="shared" si="6"/>
        <v>0</v>
      </c>
      <c r="Q15" s="28">
        <f>PT!Q15</f>
        <v>8</v>
      </c>
      <c r="R15" s="29">
        <f t="shared" si="7"/>
        <v>0.30843373493975901</v>
      </c>
      <c r="S15" s="28">
        <f>PT!S15</f>
        <v>8</v>
      </c>
      <c r="T15" s="29">
        <f t="shared" si="8"/>
        <v>0.30843373493975901</v>
      </c>
      <c r="U15" s="28">
        <f>PT!U15</f>
        <v>0</v>
      </c>
      <c r="V15" s="29">
        <f t="shared" si="9"/>
        <v>0</v>
      </c>
      <c r="W15" s="28">
        <f>PT!W15</f>
        <v>8</v>
      </c>
      <c r="X15" s="29">
        <f t="shared" si="10"/>
        <v>0.30843373493975901</v>
      </c>
      <c r="Y15" s="28"/>
      <c r="Z15" s="28"/>
      <c r="AA15" s="26">
        <f t="shared" si="11"/>
        <v>0</v>
      </c>
      <c r="AB15" s="26">
        <f>IFERROR(_xlfn.XLOOKUP($C:$C,'DT PPM'!$F:$F,'DT PPM'!$D:$D),0)</f>
        <v>0</v>
      </c>
      <c r="AC15" s="26">
        <f>IFERROR(VLOOKUP(C15,'DT PPM'!$C$3:$E$1048576,3,0),0)</f>
        <v>0</v>
      </c>
    </row>
    <row r="16" spans="2:29" x14ac:dyDescent="0.25">
      <c r="B16" s="28" t="str">
        <f>PT!B16</f>
        <v>PAN BOLLERIA</v>
      </c>
      <c r="C16" s="28">
        <f>PT!C16</f>
        <v>45533</v>
      </c>
      <c r="D16" s="28" t="str">
        <f>PT!D16</f>
        <v>Vital Fruticereal 8p 4000g CJA BIM</v>
      </c>
      <c r="E16" s="28" t="str">
        <f>PT!E16</f>
        <v>CG</v>
      </c>
      <c r="F16" s="28" t="str">
        <f>PT!F16</f>
        <v>S1541</v>
      </c>
      <c r="G16" s="28" t="str">
        <f>PT!G16</f>
        <v>MASA PAN 100% FRUTICEREAL</v>
      </c>
      <c r="H16" s="28" t="str">
        <f>PT!H16</f>
        <v>2450.20*</v>
      </c>
      <c r="I16" s="28">
        <f>PT!I16</f>
        <v>3376</v>
      </c>
      <c r="J16" s="28">
        <f>PT!J16</f>
        <v>422</v>
      </c>
      <c r="K16" s="28">
        <f>PT!K16</f>
        <v>4.1440000000000001</v>
      </c>
      <c r="L16" s="28">
        <f>PT!L16</f>
        <v>1.7487600000000001</v>
      </c>
      <c r="M16" s="28">
        <f>PT!M16</f>
        <v>0</v>
      </c>
      <c r="N16" s="29">
        <f t="shared" si="5"/>
        <v>0</v>
      </c>
      <c r="O16" s="28">
        <f>PT!O16</f>
        <v>0</v>
      </c>
      <c r="P16" s="29">
        <f t="shared" si="6"/>
        <v>0</v>
      </c>
      <c r="Q16" s="28">
        <f>PT!Q16</f>
        <v>0</v>
      </c>
      <c r="R16" s="29">
        <f t="shared" si="7"/>
        <v>0</v>
      </c>
      <c r="S16" s="28">
        <f>PT!S16</f>
        <v>0</v>
      </c>
      <c r="T16" s="29">
        <f t="shared" si="8"/>
        <v>0</v>
      </c>
      <c r="U16" s="28">
        <f>PT!U16</f>
        <v>0</v>
      </c>
      <c r="V16" s="29">
        <f t="shared" si="9"/>
        <v>0</v>
      </c>
      <c r="W16" s="28">
        <f>PT!W16</f>
        <v>0</v>
      </c>
      <c r="X16" s="29">
        <f t="shared" si="10"/>
        <v>0</v>
      </c>
      <c r="Y16" s="28"/>
      <c r="Z16" s="28"/>
      <c r="AA16" s="26">
        <f t="shared" si="11"/>
        <v>0</v>
      </c>
      <c r="AB16" s="26">
        <f>IFERROR(_xlfn.XLOOKUP($C:$C,'DT PPM'!$F:$F,'DT PPM'!$D:$D),0)</f>
        <v>0</v>
      </c>
      <c r="AC16" s="26">
        <f>IFERROR(VLOOKUP(C16,'DT PPM'!$C$3:$E$1048576,3,0),0)</f>
        <v>0</v>
      </c>
    </row>
    <row r="17" spans="2:29" x14ac:dyDescent="0.25">
      <c r="B17" s="28" t="str">
        <f>PT!B17</f>
        <v>PAN BOLLERIA</v>
      </c>
      <c r="C17" s="28">
        <f>PT!C17</f>
        <v>45541</v>
      </c>
      <c r="D17" s="28" t="str">
        <f>PT!D17</f>
        <v>Pan Mantequilla 10p 6000g CJA BIM</v>
      </c>
      <c r="E17" s="28" t="str">
        <f>PT!E17</f>
        <v>cc</v>
      </c>
      <c r="F17" s="28" t="str">
        <f>PT!F17</f>
        <v>S1557</v>
      </c>
      <c r="G17" s="28" t="str">
        <f>PT!G17</f>
        <v>MASA PAN MANTEQUILLA 600G</v>
      </c>
      <c r="H17" s="28" t="str">
        <f>PT!H17</f>
        <v>823.50*</v>
      </c>
      <c r="I17" s="28">
        <f>PT!I17</f>
        <v>2800</v>
      </c>
      <c r="J17" s="28">
        <f>PT!J17</f>
        <v>280</v>
      </c>
      <c r="K17" s="28">
        <f>PT!K17</f>
        <v>6.1802000000000001</v>
      </c>
      <c r="L17" s="28">
        <f>PT!L17</f>
        <v>1.73045</v>
      </c>
      <c r="M17" s="28">
        <f>PT!M17</f>
        <v>0</v>
      </c>
      <c r="N17" s="29">
        <f t="shared" si="5"/>
        <v>0</v>
      </c>
      <c r="O17" s="28">
        <f>PT!O17</f>
        <v>0</v>
      </c>
      <c r="P17" s="29">
        <f t="shared" si="6"/>
        <v>0</v>
      </c>
      <c r="Q17" s="28">
        <f>PT!Q17</f>
        <v>0</v>
      </c>
      <c r="R17" s="29">
        <f t="shared" si="7"/>
        <v>0</v>
      </c>
      <c r="S17" s="28">
        <f>PT!S17</f>
        <v>0</v>
      </c>
      <c r="T17" s="29">
        <f t="shared" si="8"/>
        <v>0</v>
      </c>
      <c r="U17" s="28">
        <f>PT!U17</f>
        <v>0</v>
      </c>
      <c r="V17" s="29">
        <f t="shared" si="9"/>
        <v>0</v>
      </c>
      <c r="W17" s="28">
        <f>PT!W17</f>
        <v>0</v>
      </c>
      <c r="X17" s="29">
        <f t="shared" si="10"/>
        <v>0</v>
      </c>
      <c r="Y17" s="28"/>
      <c r="Z17" s="28"/>
      <c r="AA17" s="26">
        <f t="shared" si="11"/>
        <v>0</v>
      </c>
      <c r="AB17" s="26">
        <f>IFERROR(_xlfn.XLOOKUP($C:$C,'DT PPM'!$F:$F,'DT PPM'!$D:$D),0)</f>
        <v>0</v>
      </c>
      <c r="AC17" s="26">
        <f>IFERROR(VLOOKUP(C17,'DT PPM'!$C$3:$E$1048576,3,0),0)</f>
        <v>0</v>
      </c>
    </row>
    <row r="18" spans="2:29" x14ac:dyDescent="0.25">
      <c r="B18" s="28" t="str">
        <f>PT!B18</f>
        <v>PAN BOLLERIA</v>
      </c>
      <c r="C18" s="28">
        <f>PT!C18</f>
        <v>48629</v>
      </c>
      <c r="D18" s="28" t="str">
        <f>PT!D18</f>
        <v>Hamburguesa 42in 1p 700g Bolsa BIM</v>
      </c>
      <c r="E18" s="28" t="str">
        <f>PT!E18</f>
        <v>EACH</v>
      </c>
      <c r="F18" s="28" t="str">
        <f>PT!F18</f>
        <v>S1581</v>
      </c>
      <c r="G18" s="28" t="str">
        <f>PT!G18</f>
        <v>MASA HAMBURGUESA 4.5" BIM</v>
      </c>
      <c r="H18" s="28">
        <f>PT!H18</f>
        <v>4787</v>
      </c>
      <c r="I18" s="28">
        <f>PT!I18</f>
        <v>2500</v>
      </c>
      <c r="J18" s="28">
        <f>PT!J18</f>
        <v>250</v>
      </c>
      <c r="K18" s="28">
        <f>PT!K18</f>
        <v>0.72230000000000005</v>
      </c>
      <c r="L18" s="28">
        <f>PT!L18</f>
        <v>0.18057000000000001</v>
      </c>
      <c r="M18" s="28">
        <f>PT!M18</f>
        <v>0</v>
      </c>
      <c r="N18" s="29">
        <f t="shared" si="5"/>
        <v>0</v>
      </c>
      <c r="O18" s="28">
        <f>PT!O18</f>
        <v>0</v>
      </c>
      <c r="P18" s="29">
        <f t="shared" si="6"/>
        <v>0</v>
      </c>
      <c r="Q18" s="28">
        <f>PT!Q18</f>
        <v>0</v>
      </c>
      <c r="R18" s="29">
        <f t="shared" si="7"/>
        <v>0</v>
      </c>
      <c r="S18" s="28">
        <f>PT!S18</f>
        <v>0</v>
      </c>
      <c r="T18" s="29">
        <f t="shared" si="8"/>
        <v>0</v>
      </c>
      <c r="U18" s="28">
        <f>PT!U18</f>
        <v>0</v>
      </c>
      <c r="V18" s="29">
        <f t="shared" si="9"/>
        <v>0</v>
      </c>
      <c r="W18" s="28">
        <f>PT!W18</f>
        <v>0</v>
      </c>
      <c r="X18" s="29">
        <f t="shared" si="10"/>
        <v>0</v>
      </c>
      <c r="Y18" s="28"/>
      <c r="Z18" s="28"/>
      <c r="AA18" s="26">
        <f t="shared" si="11"/>
        <v>0</v>
      </c>
      <c r="AB18" s="26">
        <f>IFERROR(_xlfn.XLOOKUP($C:$C,'DT PPM'!$F:$F,'DT PPM'!$D:$D),0)</f>
        <v>0</v>
      </c>
      <c r="AC18" s="26">
        <f>IFERROR(VLOOKUP(C18,'DT PPM'!$C$3:$E$1048576,3,0),0)</f>
        <v>0</v>
      </c>
    </row>
    <row r="19" spans="2:29" x14ac:dyDescent="0.25">
      <c r="B19" s="28" t="str">
        <f>PT!B19</f>
        <v>PAN BOLLERIA</v>
      </c>
      <c r="C19" s="28">
        <f>PT!C19</f>
        <v>48630</v>
      </c>
      <c r="D19" s="28" t="str">
        <f>PT!D19</f>
        <v>Pan CR 42in 1p 830g Bolsa BIM</v>
      </c>
      <c r="E19" s="28" t="str">
        <f>PT!E19</f>
        <v>EACH</v>
      </c>
      <c r="F19" s="28" t="str">
        <f>PT!F19</f>
        <v>S1581</v>
      </c>
      <c r="G19" s="28" t="str">
        <f>PT!G19</f>
        <v>MASA HAMBURGUESA 4.5" BIM</v>
      </c>
      <c r="H19" s="28" t="str">
        <f>PT!H19</f>
        <v>4787.00*</v>
      </c>
      <c r="I19" s="28">
        <f>PT!I19</f>
        <v>6260</v>
      </c>
      <c r="J19" s="28">
        <f>PT!J19</f>
        <v>626</v>
      </c>
      <c r="K19" s="28">
        <f>PT!K19</f>
        <v>0.85199999999999998</v>
      </c>
      <c r="L19" s="28">
        <f>PT!L19</f>
        <v>0.53334999999999999</v>
      </c>
      <c r="M19" s="28">
        <f>PT!M19</f>
        <v>0</v>
      </c>
      <c r="N19" s="29">
        <f t="shared" si="5"/>
        <v>0</v>
      </c>
      <c r="O19" s="28">
        <f>PT!O19</f>
        <v>0</v>
      </c>
      <c r="P19" s="29">
        <f t="shared" si="6"/>
        <v>0</v>
      </c>
      <c r="Q19" s="28">
        <f>PT!Q19</f>
        <v>0</v>
      </c>
      <c r="R19" s="29">
        <f t="shared" si="7"/>
        <v>0</v>
      </c>
      <c r="S19" s="28">
        <f>PT!S19</f>
        <v>0</v>
      </c>
      <c r="T19" s="29">
        <f t="shared" si="8"/>
        <v>0</v>
      </c>
      <c r="U19" s="28">
        <f>PT!U19</f>
        <v>0</v>
      </c>
      <c r="V19" s="29">
        <f t="shared" si="9"/>
        <v>0</v>
      </c>
      <c r="W19" s="28">
        <f>PT!W19</f>
        <v>0</v>
      </c>
      <c r="X19" s="29">
        <f t="shared" si="10"/>
        <v>0</v>
      </c>
      <c r="Y19" s="28"/>
      <c r="Z19" s="28"/>
      <c r="AA19" s="26">
        <f t="shared" si="11"/>
        <v>0</v>
      </c>
      <c r="AB19" s="26">
        <f>IFERROR(_xlfn.XLOOKUP($C:$C,'DT PPM'!$F:$F,'DT PPM'!$D:$D),0)</f>
        <v>0</v>
      </c>
      <c r="AC19" s="26">
        <f>IFERROR(VLOOKUP(C19,'DT PPM'!$C$3:$E$1048576,3,0),0)</f>
        <v>0</v>
      </c>
    </row>
    <row r="20" spans="2:29" x14ac:dyDescent="0.25">
      <c r="B20" s="28" t="str">
        <f>PT!B20</f>
        <v>PAN BOLLERIA</v>
      </c>
      <c r="C20" s="28">
        <f>PT!C20</f>
        <v>500490</v>
      </c>
      <c r="D20" s="28" t="str">
        <f>PT!D20</f>
        <v>Horneaditos Pan Blan 16p 7200g CJA NP</v>
      </c>
      <c r="E20" s="28">
        <f>PT!E20</f>
        <v>0</v>
      </c>
      <c r="F20" s="28" t="str">
        <f>PT!F20</f>
        <v>S1574</v>
      </c>
      <c r="G20" s="28" t="str">
        <f>PT!G20</f>
        <v>MASA PAN BLANCO 450G</v>
      </c>
      <c r="H20" s="28" t="str">
        <f>PT!H20</f>
        <v>9878.40*</v>
      </c>
      <c r="I20" s="28">
        <f>PT!I20</f>
        <v>18128</v>
      </c>
      <c r="J20" s="28">
        <f>PT!J20</f>
        <v>1133</v>
      </c>
      <c r="K20" s="28">
        <f>PT!K20</f>
        <v>7.3037999999999998</v>
      </c>
      <c r="L20" s="28">
        <f>PT!L20</f>
        <v>8.2751999999999999</v>
      </c>
      <c r="M20" s="28">
        <f>PT!M20</f>
        <v>37</v>
      </c>
      <c r="N20" s="29">
        <f t="shared" si="5"/>
        <v>0.44283799310608957</v>
      </c>
      <c r="O20" s="28">
        <f>PT!O20</f>
        <v>43</v>
      </c>
      <c r="P20" s="29">
        <f t="shared" si="6"/>
        <v>0.51464955955572567</v>
      </c>
      <c r="Q20" s="28">
        <f>PT!Q20</f>
        <v>80</v>
      </c>
      <c r="R20" s="29">
        <f t="shared" si="7"/>
        <v>0.9574875526618154</v>
      </c>
      <c r="S20" s="28">
        <f>PT!S20</f>
        <v>37</v>
      </c>
      <c r="T20" s="29">
        <f t="shared" si="8"/>
        <v>0.44283799310608957</v>
      </c>
      <c r="U20" s="28">
        <f>PT!U20</f>
        <v>43</v>
      </c>
      <c r="V20" s="29">
        <f t="shared" si="9"/>
        <v>0.51693876078959389</v>
      </c>
      <c r="W20" s="28">
        <f>PT!W20</f>
        <v>37</v>
      </c>
      <c r="X20" s="29">
        <f t="shared" si="10"/>
        <v>0.44283799310608957</v>
      </c>
      <c r="Y20" s="28"/>
      <c r="Z20" s="28"/>
      <c r="AA20" s="26">
        <f t="shared" si="11"/>
        <v>0</v>
      </c>
      <c r="AB20" s="26">
        <f>IFERROR(_xlfn.XLOOKUP($C:$C,'DT PPM'!$F:$F,'DT PPM'!$D:$D),0)</f>
        <v>0</v>
      </c>
      <c r="AC20" s="26">
        <f>IFERROR(VLOOKUP(C20,'DT PPM'!$C$3:$E$1048576,3,0),0)</f>
        <v>0</v>
      </c>
    </row>
    <row r="21" spans="2:29" x14ac:dyDescent="0.25">
      <c r="B21" s="28" t="str">
        <f>PT!B21</f>
        <v>PAN BOLLERIA</v>
      </c>
      <c r="C21" s="28">
        <f>PT!C21</f>
        <v>500493</v>
      </c>
      <c r="D21" s="28" t="str">
        <f>PT!D21</f>
        <v>Horneaditos Supe Perro 15p 5550g CJA NP</v>
      </c>
      <c r="E21" s="28" t="str">
        <f>PT!E21</f>
        <v>cg</v>
      </c>
      <c r="F21" s="28" t="str">
        <f>PT!F21</f>
        <v>S1579</v>
      </c>
      <c r="G21" s="28" t="str">
        <f>PT!G21</f>
        <v>MASA SUPER PERRO HORNEADITOS</v>
      </c>
      <c r="H21" s="28" t="str">
        <f>PT!H21</f>
        <v>42525.00*</v>
      </c>
      <c r="I21" s="28">
        <f>PT!I21</f>
        <v>41760</v>
      </c>
      <c r="J21" s="28">
        <f>PT!J21</f>
        <v>464</v>
      </c>
      <c r="K21" s="28">
        <f>PT!K21</f>
        <v>5.9889999999999999</v>
      </c>
      <c r="L21" s="28">
        <f>PT!L21</f>
        <v>2.7789100000000002</v>
      </c>
      <c r="M21" s="28">
        <f>PT!M21</f>
        <v>11</v>
      </c>
      <c r="N21" s="29">
        <f t="shared" si="5"/>
        <v>0.39427795161851098</v>
      </c>
      <c r="O21" s="28">
        <f>PT!O21</f>
        <v>0</v>
      </c>
      <c r="P21" s="29">
        <f t="shared" si="6"/>
        <v>0</v>
      </c>
      <c r="Q21" s="28">
        <f>PT!Q21</f>
        <v>11</v>
      </c>
      <c r="R21" s="29">
        <f t="shared" si="7"/>
        <v>0.39427795161851098</v>
      </c>
      <c r="S21" s="28">
        <f>PT!S21</f>
        <v>11</v>
      </c>
      <c r="T21" s="29">
        <f t="shared" si="8"/>
        <v>0.39427795161851098</v>
      </c>
      <c r="U21" s="28">
        <f>PT!U21</f>
        <v>0</v>
      </c>
      <c r="V21" s="29">
        <f t="shared" si="9"/>
        <v>0</v>
      </c>
      <c r="W21" s="28">
        <f>PT!W21</f>
        <v>11</v>
      </c>
      <c r="X21" s="29">
        <f t="shared" si="10"/>
        <v>0.39427795161851098</v>
      </c>
      <c r="Y21" s="28"/>
      <c r="Z21" s="28"/>
      <c r="AA21" s="26">
        <f t="shared" si="11"/>
        <v>0</v>
      </c>
      <c r="AB21" s="26">
        <f>IFERROR(_xlfn.XLOOKUP($C:$C,'DT PPM'!$F:$F,'DT PPM'!$D:$D),0)</f>
        <v>0</v>
      </c>
      <c r="AC21" s="26">
        <f>IFERROR(VLOOKUP(C21,'DT PPM'!$C$3:$E$1048576,3,0),0)</f>
        <v>0</v>
      </c>
    </row>
    <row r="22" spans="2:29" x14ac:dyDescent="0.25">
      <c r="B22" s="28" t="str">
        <f>PT!B22</f>
        <v>PAN BOLLERIA</v>
      </c>
      <c r="C22" s="28">
        <f>PT!C22</f>
        <v>504672</v>
      </c>
      <c r="D22" s="28" t="str">
        <f>PT!D22</f>
        <v>Pan Spr Hamburgue Ajon 1p 525g Bolsa BIM</v>
      </c>
      <c r="E22" s="28" t="str">
        <f>PT!E22</f>
        <v>EACH</v>
      </c>
      <c r="F22" s="28" t="str">
        <f>PT!F22</f>
        <v>S1088</v>
      </c>
      <c r="G22" s="28" t="str">
        <f>PT!G22</f>
        <v>MASA HAMBURGUESA 5" -2-</v>
      </c>
      <c r="H22" s="28" t="str">
        <f>PT!H22</f>
        <v>3570.04*</v>
      </c>
      <c r="I22" s="28">
        <f>PT!I22</f>
        <v>7200</v>
      </c>
      <c r="J22" s="28">
        <f>PT!J22</f>
        <v>1200</v>
      </c>
      <c r="K22" s="28">
        <f>PT!K22</f>
        <v>0.53500000000000003</v>
      </c>
      <c r="L22" s="28">
        <f>PT!L22</f>
        <v>0.64200000000000002</v>
      </c>
      <c r="M22" s="28">
        <f>PT!M22</f>
        <v>0</v>
      </c>
      <c r="N22" s="29">
        <f t="shared" si="5"/>
        <v>0</v>
      </c>
      <c r="O22" s="28">
        <f>PT!O22</f>
        <v>0</v>
      </c>
      <c r="P22" s="29">
        <f t="shared" si="6"/>
        <v>0</v>
      </c>
      <c r="Q22" s="28">
        <f>PT!Q22</f>
        <v>0</v>
      </c>
      <c r="R22" s="29">
        <f t="shared" si="7"/>
        <v>0</v>
      </c>
      <c r="S22" s="28">
        <f>PT!S22</f>
        <v>0</v>
      </c>
      <c r="T22" s="29">
        <f t="shared" si="8"/>
        <v>0</v>
      </c>
      <c r="U22" s="28">
        <f>PT!U22</f>
        <v>0</v>
      </c>
      <c r="V22" s="29">
        <f t="shared" si="9"/>
        <v>0</v>
      </c>
      <c r="W22" s="28">
        <f>PT!W22</f>
        <v>0</v>
      </c>
      <c r="X22" s="29">
        <f t="shared" si="10"/>
        <v>0</v>
      </c>
      <c r="Y22" s="28"/>
      <c r="Z22" s="28"/>
      <c r="AA22" s="26">
        <f t="shared" si="11"/>
        <v>0</v>
      </c>
      <c r="AB22" s="26">
        <f>IFERROR(_xlfn.XLOOKUP($C:$C,'DT PPM'!$F:$F,'DT PPM'!$D:$D),0)</f>
        <v>0</v>
      </c>
      <c r="AC22" s="26">
        <f>IFERROR(VLOOKUP(C22,'DT PPM'!$C$3:$E$1048576,3,0),0)</f>
        <v>0</v>
      </c>
    </row>
    <row r="23" spans="2:29" x14ac:dyDescent="0.25">
      <c r="B23" s="28" t="str">
        <f>PT!B23</f>
        <v>PAN BOLLERIA</v>
      </c>
      <c r="C23" s="28">
        <f>PT!C23</f>
        <v>505377</v>
      </c>
      <c r="D23" s="28" t="str">
        <f>PT!D23</f>
        <v>Horneaditos PanIntegral 16p 7200g CJA NP</v>
      </c>
      <c r="E23" s="28" t="str">
        <f>PT!E23</f>
        <v>cg</v>
      </c>
      <c r="F23" s="28" t="str">
        <f>PT!F23</f>
        <v>S3556</v>
      </c>
      <c r="G23" s="28" t="str">
        <f>PT!G23</f>
        <v>MASA PAN INTEGRAL 450G HORNEADITOS</v>
      </c>
      <c r="H23" s="28" t="str">
        <f>PT!H23</f>
        <v>3499.20*</v>
      </c>
      <c r="I23" s="28">
        <f>PT!I23</f>
        <v>10320</v>
      </c>
      <c r="J23" s="28">
        <f>PT!J23</f>
        <v>645</v>
      </c>
      <c r="K23" s="28">
        <f>PT!K23</f>
        <v>7.3037999999999998</v>
      </c>
      <c r="L23" s="28">
        <f>PT!L23</f>
        <v>4.7109500000000004</v>
      </c>
      <c r="M23" s="28">
        <f>PT!M23</f>
        <v>31</v>
      </c>
      <c r="N23" s="29">
        <f t="shared" si="5"/>
        <v>0.64962960634541422</v>
      </c>
      <c r="O23" s="28">
        <f>PT!O23</f>
        <v>30</v>
      </c>
      <c r="P23" s="29">
        <f t="shared" si="6"/>
        <v>0.62867381259233635</v>
      </c>
      <c r="Q23" s="28">
        <f>PT!Q23</f>
        <v>61</v>
      </c>
      <c r="R23" s="29">
        <f t="shared" si="7"/>
        <v>1.2783034189377505</v>
      </c>
      <c r="S23" s="28">
        <f>PT!S23</f>
        <v>31</v>
      </c>
      <c r="T23" s="29">
        <f t="shared" si="8"/>
        <v>0.64962960634541422</v>
      </c>
      <c r="U23" s="28">
        <f>PT!U23</f>
        <v>30</v>
      </c>
      <c r="V23" s="29">
        <f t="shared" si="9"/>
        <v>0.63278456849365627</v>
      </c>
      <c r="W23" s="28">
        <f>PT!W23</f>
        <v>31</v>
      </c>
      <c r="X23" s="29">
        <f t="shared" si="10"/>
        <v>0.64962960634541422</v>
      </c>
      <c r="Y23" s="28"/>
      <c r="Z23" s="28"/>
      <c r="AA23" s="26">
        <f t="shared" si="11"/>
        <v>0</v>
      </c>
      <c r="AB23" s="26">
        <f>IFERROR(_xlfn.XLOOKUP($C:$C,'DT PPM'!$F:$F,'DT PPM'!$D:$D),0)</f>
        <v>0</v>
      </c>
      <c r="AC23" s="26">
        <f>IFERROR(VLOOKUP(C23,'DT PPM'!$C$3:$E$1048576,3,0),0)</f>
        <v>0</v>
      </c>
    </row>
    <row r="24" spans="2:29" x14ac:dyDescent="0.25">
      <c r="B24" s="28" t="str">
        <f>PT!B24</f>
        <v>PAN BOLLERIA</v>
      </c>
      <c r="C24" s="28">
        <f>PT!C24</f>
        <v>505976</v>
      </c>
      <c r="D24" s="28" t="str">
        <f>PT!D24</f>
        <v>Pan Blanco 1p 450g BOLSA LAL</v>
      </c>
      <c r="E24" s="28" t="str">
        <f>PT!E24</f>
        <v>EACH</v>
      </c>
      <c r="F24" s="28" t="str">
        <f>PT!F24</f>
        <v>S4582</v>
      </c>
      <c r="G24" s="28" t="str">
        <f>PT!G24</f>
        <v>MASA PAN BLANCO 450G LALO</v>
      </c>
      <c r="H24" s="28" t="str">
        <f>PT!H24</f>
        <v>4524.80*</v>
      </c>
      <c r="I24" s="28">
        <f>PT!I24</f>
        <v>6830</v>
      </c>
      <c r="J24" s="28">
        <f>PT!J24</f>
        <v>6830</v>
      </c>
      <c r="K24" s="28">
        <f>PT!K24</f>
        <v>0.47299999999999998</v>
      </c>
      <c r="L24" s="28">
        <f>PT!L24</f>
        <v>3.2305899999999999</v>
      </c>
      <c r="M24" s="28">
        <f>PT!M24</f>
        <v>112.48</v>
      </c>
      <c r="N24" s="29">
        <f t="shared" si="5"/>
        <v>3.364572084939891</v>
      </c>
      <c r="O24" s="28">
        <f>PT!O24</f>
        <v>0</v>
      </c>
      <c r="P24" s="29">
        <f t="shared" si="6"/>
        <v>0</v>
      </c>
      <c r="Q24" s="28">
        <f>PT!Q24</f>
        <v>112.48</v>
      </c>
      <c r="R24" s="29">
        <f t="shared" si="7"/>
        <v>3.364572084939891</v>
      </c>
      <c r="S24" s="28">
        <f>PT!S24</f>
        <v>47</v>
      </c>
      <c r="T24" s="29">
        <f t="shared" si="8"/>
        <v>1.4058933854211848</v>
      </c>
      <c r="U24" s="28">
        <f>PT!U24</f>
        <v>39</v>
      </c>
      <c r="V24" s="29">
        <f t="shared" si="9"/>
        <v>1.1928101076893434</v>
      </c>
      <c r="W24" s="28">
        <f>PT!W24</f>
        <v>73.48</v>
      </c>
      <c r="X24" s="29">
        <f t="shared" si="10"/>
        <v>2.1979797012925251</v>
      </c>
      <c r="Y24" s="28"/>
      <c r="Z24" s="28"/>
      <c r="AA24" s="26">
        <f t="shared" si="11"/>
        <v>0</v>
      </c>
      <c r="AB24" s="26">
        <f>IFERROR(_xlfn.XLOOKUP($C:$C,'DT PPM'!$F:$F,'DT PPM'!$D:$D),0)</f>
        <v>0</v>
      </c>
      <c r="AC24" s="26">
        <f>IFERROR(VLOOKUP(C24,'DT PPM'!$C$3:$E$1048576,3,0),0)</f>
        <v>0</v>
      </c>
    </row>
    <row r="25" spans="2:29" x14ac:dyDescent="0.25">
      <c r="B25" s="28" t="str">
        <f>PT!B25</f>
        <v>PAN BOLLERIA</v>
      </c>
      <c r="C25" s="28">
        <f>PT!C25</f>
        <v>506250</v>
      </c>
      <c r="D25" s="28" t="str">
        <f>PT!D25</f>
        <v>Pan Blanco PRO 1p 470g BOLSA BIM</v>
      </c>
      <c r="E25" s="28">
        <f>PT!E25</f>
        <v>0</v>
      </c>
      <c r="F25" s="28" t="str">
        <f>PT!F25</f>
        <v>S962414</v>
      </c>
      <c r="G25" s="28" t="str">
        <f>PT!G25</f>
        <v>MASA PAN BLANCO LECHE 470G</v>
      </c>
      <c r="H25" s="28">
        <f>PT!H25</f>
        <v>5291</v>
      </c>
      <c r="I25" s="28">
        <f>PT!I25</f>
        <v>6830</v>
      </c>
      <c r="J25" s="28">
        <f>PT!J25</f>
        <v>6830</v>
      </c>
      <c r="K25" s="28">
        <f>PT!K25</f>
        <v>0.48180000000000001</v>
      </c>
      <c r="L25" s="28">
        <f>PT!L25</f>
        <v>3.2906900000000001</v>
      </c>
      <c r="M25" s="28">
        <f>PT!M25</f>
        <v>131.9</v>
      </c>
      <c r="N25" s="29">
        <f t="shared" si="5"/>
        <v>3.8342020121566587</v>
      </c>
      <c r="O25" s="28">
        <f>PT!O25</f>
        <v>17.5</v>
      </c>
      <c r="P25" s="29">
        <f t="shared" si="6"/>
        <v>0.50870762102154299</v>
      </c>
      <c r="Q25" s="28">
        <f>PT!Q25</f>
        <v>149.4</v>
      </c>
      <c r="R25" s="29">
        <f t="shared" si="7"/>
        <v>4.342909633178202</v>
      </c>
      <c r="S25" s="28">
        <f>PT!S25</f>
        <v>42</v>
      </c>
      <c r="T25" s="29">
        <f t="shared" si="8"/>
        <v>1.2208982904517032</v>
      </c>
      <c r="U25" s="28">
        <f>PT!U25</f>
        <v>78.5</v>
      </c>
      <c r="V25" s="29">
        <f t="shared" si="9"/>
        <v>2.3299368690991007</v>
      </c>
      <c r="W25" s="28">
        <f>PT!W25</f>
        <v>70.900000000000006</v>
      </c>
      <c r="X25" s="29">
        <f t="shared" si="10"/>
        <v>2.0609925903101374</v>
      </c>
      <c r="Y25" s="28"/>
      <c r="Z25" s="28"/>
      <c r="AA25" s="26">
        <f t="shared" si="11"/>
        <v>0</v>
      </c>
      <c r="AB25" s="26">
        <f>IFERROR(_xlfn.XLOOKUP($C:$C,'DT PPM'!$F:$F,'DT PPM'!$D:$D),0)</f>
        <v>0</v>
      </c>
      <c r="AC25" s="26">
        <f>IFERROR(VLOOKUP(C25,'DT PPM'!$C$3:$E$1048576,3,0),0)</f>
        <v>0</v>
      </c>
    </row>
    <row r="26" spans="2:29" x14ac:dyDescent="0.25">
      <c r="B26" s="28" t="str">
        <f>PT!B26</f>
        <v>PAN BOLLERIA</v>
      </c>
      <c r="C26" s="28">
        <f>PT!C26</f>
        <v>506251</v>
      </c>
      <c r="D26" s="28" t="str">
        <f>PT!D26</f>
        <v>Pan Blanco PRO 1p 600g BOLSA BIM</v>
      </c>
      <c r="E26" s="28" t="str">
        <f>PT!E26</f>
        <v>EACH</v>
      </c>
      <c r="F26" s="28" t="str">
        <f>PT!F26</f>
        <v>S962605</v>
      </c>
      <c r="G26" s="28" t="str">
        <f>PT!G26</f>
        <v>MASA PAN BLANCO LECHE 600G</v>
      </c>
      <c r="H26" s="28" t="str">
        <f>PT!H26</f>
        <v>2513.70*</v>
      </c>
      <c r="I26" s="28">
        <f>PT!I26</f>
        <v>7002</v>
      </c>
      <c r="J26" s="28">
        <f>PT!J26</f>
        <v>7002</v>
      </c>
      <c r="K26" s="28">
        <f>PT!K26</f>
        <v>0.61040000000000005</v>
      </c>
      <c r="L26" s="28">
        <f>PT!L26</f>
        <v>4.2740200000000002</v>
      </c>
      <c r="M26" s="28">
        <f>PT!M26</f>
        <v>20</v>
      </c>
      <c r="N26" s="29">
        <f t="shared" si="5"/>
        <v>0.46457391603291037</v>
      </c>
      <c r="O26" s="28">
        <f>PT!O26</f>
        <v>11</v>
      </c>
      <c r="P26" s="29">
        <f t="shared" si="6"/>
        <v>0.25551565381810071</v>
      </c>
      <c r="Q26" s="28">
        <f>PT!Q26</f>
        <v>31</v>
      </c>
      <c r="R26" s="29">
        <f t="shared" si="7"/>
        <v>0.72008956985101102</v>
      </c>
      <c r="S26" s="28">
        <f>PT!S26</f>
        <v>20</v>
      </c>
      <c r="T26" s="29">
        <f t="shared" si="8"/>
        <v>0.46457391603291037</v>
      </c>
      <c r="U26" s="28">
        <f>PT!U26</f>
        <v>11</v>
      </c>
      <c r="V26" s="29">
        <f t="shared" si="9"/>
        <v>0.25670825340371806</v>
      </c>
      <c r="W26" s="28">
        <f>PT!W26</f>
        <v>20</v>
      </c>
      <c r="X26" s="29">
        <f t="shared" si="10"/>
        <v>0.46457391603291037</v>
      </c>
      <c r="Y26" s="28"/>
      <c r="Z26" s="28"/>
      <c r="AA26" s="26">
        <f t="shared" si="11"/>
        <v>0</v>
      </c>
      <c r="AB26" s="26">
        <f>IFERROR(_xlfn.XLOOKUP($C:$C,'DT PPM'!$F:$F,'DT PPM'!$D:$D),0)</f>
        <v>0</v>
      </c>
      <c r="AC26" s="26">
        <f>IFERROR(VLOOKUP(C26,'DT PPM'!$C$3:$E$1048576,3,0),0)</f>
        <v>0</v>
      </c>
    </row>
    <row r="27" spans="2:29" x14ac:dyDescent="0.25">
      <c r="B27" s="28" t="str">
        <f>PT!B27</f>
        <v>PAN BOLLERIA</v>
      </c>
      <c r="C27" s="28">
        <f>PT!C27</f>
        <v>506252</v>
      </c>
      <c r="D27" s="28" t="str">
        <f>PT!D27</f>
        <v>Pan Blanco PRO 1p 730g BOLSA BIM</v>
      </c>
      <c r="E27" s="28" t="str">
        <f>PT!E27</f>
        <v>EACH</v>
      </c>
      <c r="F27" s="28" t="str">
        <f>PT!F27</f>
        <v>S962416</v>
      </c>
      <c r="G27" s="28" t="str">
        <f>PT!G27</f>
        <v>MASA PAN BLANCO LECHE 730G</v>
      </c>
      <c r="H27" s="28" t="str">
        <f>PT!H27</f>
        <v>2070.30*</v>
      </c>
      <c r="I27" s="28">
        <f>PT!I27</f>
        <v>4326</v>
      </c>
      <c r="J27" s="28">
        <f>PT!J27</f>
        <v>4326</v>
      </c>
      <c r="K27" s="28">
        <f>PT!K27</f>
        <v>0.74470000000000003</v>
      </c>
      <c r="L27" s="28">
        <f>PT!L27</f>
        <v>3.2216100000000001</v>
      </c>
      <c r="M27" s="28">
        <f>PT!M27</f>
        <v>24.97</v>
      </c>
      <c r="N27" s="29">
        <f t="shared" si="5"/>
        <v>0.76911704008525894</v>
      </c>
      <c r="O27" s="28">
        <f>PT!O27</f>
        <v>0</v>
      </c>
      <c r="P27" s="29">
        <f t="shared" si="6"/>
        <v>0</v>
      </c>
      <c r="Q27" s="28">
        <f>PT!Q27</f>
        <v>24.97</v>
      </c>
      <c r="R27" s="29">
        <f t="shared" si="7"/>
        <v>0.76911704008525894</v>
      </c>
      <c r="S27" s="28">
        <f>PT!S27</f>
        <v>22</v>
      </c>
      <c r="T27" s="29">
        <f t="shared" si="8"/>
        <v>0.67763615866542637</v>
      </c>
      <c r="U27" s="28">
        <f>PT!U27</f>
        <v>0</v>
      </c>
      <c r="V27" s="29">
        <f t="shared" si="9"/>
        <v>0</v>
      </c>
      <c r="W27" s="28">
        <f>PT!W27</f>
        <v>24.97</v>
      </c>
      <c r="X27" s="29">
        <f t="shared" si="10"/>
        <v>0.76911704008525894</v>
      </c>
      <c r="Y27" s="28"/>
      <c r="Z27" s="28"/>
      <c r="AA27" s="26">
        <f t="shared" si="11"/>
        <v>0</v>
      </c>
      <c r="AB27" s="26">
        <f>IFERROR(_xlfn.XLOOKUP($C:$C,'DT PPM'!$F:$F,'DT PPM'!$D:$D),0)</f>
        <v>0</v>
      </c>
      <c r="AC27" s="26">
        <f>IFERROR(VLOOKUP(C27,'DT PPM'!$C$3:$E$1048576,3,0),0)</f>
        <v>0</v>
      </c>
    </row>
    <row r="28" spans="2:29" x14ac:dyDescent="0.25">
      <c r="B28" s="28" t="str">
        <f>PT!B28</f>
        <v>PAN BOLLERIA</v>
      </c>
      <c r="C28" s="28">
        <f>PT!C28</f>
        <v>5523</v>
      </c>
      <c r="D28" s="28" t="str">
        <f>PT!D28</f>
        <v>Pan Super Hamburguesa 1p 350g Bolsa BIM</v>
      </c>
      <c r="E28" s="28" t="str">
        <f>PT!E28</f>
        <v>EACH</v>
      </c>
      <c r="F28" s="28" t="str">
        <f>PT!F28</f>
        <v>S1088</v>
      </c>
      <c r="G28" s="28" t="str">
        <f>PT!G28</f>
        <v>MASA HAMBURGUESA 5" -2-</v>
      </c>
      <c r="H28" s="28">
        <f>PT!H28</f>
        <v>3570.04</v>
      </c>
      <c r="I28" s="28">
        <f>PT!I28</f>
        <v>1880</v>
      </c>
      <c r="J28" s="28">
        <f>PT!J28</f>
        <v>470</v>
      </c>
      <c r="K28" s="28">
        <f>PT!K28</f>
        <v>0.36099999999999999</v>
      </c>
      <c r="L28" s="28">
        <f>PT!L28</f>
        <v>0.16966999999999999</v>
      </c>
      <c r="M28" s="28">
        <f>PT!M28</f>
        <v>7</v>
      </c>
      <c r="N28" s="29">
        <f t="shared" si="5"/>
        <v>3.45389056101051</v>
      </c>
      <c r="O28" s="28">
        <f>PT!O28</f>
        <v>26</v>
      </c>
      <c r="P28" s="29">
        <f t="shared" si="6"/>
        <v>12.828736369467608</v>
      </c>
      <c r="Q28" s="28">
        <f>PT!Q28</f>
        <v>33</v>
      </c>
      <c r="R28" s="29">
        <f t="shared" si="7"/>
        <v>16.282626930478116</v>
      </c>
      <c r="S28" s="28">
        <f>PT!S28</f>
        <v>7</v>
      </c>
      <c r="T28" s="29">
        <f t="shared" si="8"/>
        <v>3.45389056101051</v>
      </c>
      <c r="U28" s="28">
        <f>PT!U28</f>
        <v>26</v>
      </c>
      <c r="V28" s="29">
        <f t="shared" si="9"/>
        <v>13.287678233760925</v>
      </c>
      <c r="W28" s="28">
        <f>PT!W28</f>
        <v>7</v>
      </c>
      <c r="X28" s="29">
        <f t="shared" si="10"/>
        <v>3.45389056101051</v>
      </c>
      <c r="Y28" s="28"/>
      <c r="Z28" s="28"/>
      <c r="AA28" s="26">
        <f t="shared" si="11"/>
        <v>0</v>
      </c>
      <c r="AB28" s="26">
        <f>IFERROR(_xlfn.XLOOKUP($C:$C,'DT PPM'!$F:$F,'DT PPM'!$D:$D),0)</f>
        <v>0</v>
      </c>
      <c r="AC28" s="26">
        <f>IFERROR(VLOOKUP(C28,'DT PPM'!$C$3:$E$1048576,3,0),0)</f>
        <v>0</v>
      </c>
    </row>
    <row r="29" spans="2:29" x14ac:dyDescent="0.25">
      <c r="B29" s="28" t="str">
        <f>PT!B29</f>
        <v>PAN BOLLERIA</v>
      </c>
      <c r="C29" s="28">
        <f>PT!C29</f>
        <v>7494</v>
      </c>
      <c r="D29" s="28" t="str">
        <f>PT!D29</f>
        <v>Pan Perro 1p 405g Bolsa BIM</v>
      </c>
      <c r="E29" s="28" t="str">
        <f>PT!E29</f>
        <v>BG</v>
      </c>
      <c r="F29" s="28" t="str">
        <f>PT!F29</f>
        <v>S944</v>
      </c>
      <c r="G29" s="28" t="str">
        <f>PT!G29</f>
        <v>MASA PAN SUPER PANCHO / PERRO</v>
      </c>
      <c r="H29" s="28" t="str">
        <f>PT!H29</f>
        <v>29607.00*</v>
      </c>
      <c r="I29" s="28">
        <f>PT!I29</f>
        <v>5616</v>
      </c>
      <c r="J29" s="28">
        <f>PT!J29</f>
        <v>936</v>
      </c>
      <c r="K29" s="28">
        <f>PT!K29</f>
        <v>0.41899999999999998</v>
      </c>
      <c r="L29" s="28">
        <f>PT!L29</f>
        <v>0.39217999999999997</v>
      </c>
      <c r="M29" s="28">
        <f>PT!M29</f>
        <v>0</v>
      </c>
      <c r="N29" s="29">
        <f t="shared" si="5"/>
        <v>0</v>
      </c>
      <c r="O29" s="28">
        <f>PT!O29</f>
        <v>0</v>
      </c>
      <c r="P29" s="29">
        <f t="shared" si="6"/>
        <v>0</v>
      </c>
      <c r="Q29" s="28">
        <f>PT!Q29</f>
        <v>0</v>
      </c>
      <c r="R29" s="29">
        <f t="shared" si="7"/>
        <v>0</v>
      </c>
      <c r="S29" s="28">
        <f>PT!S29</f>
        <v>0</v>
      </c>
      <c r="T29" s="29">
        <f t="shared" si="8"/>
        <v>0</v>
      </c>
      <c r="U29" s="28">
        <f>PT!U29</f>
        <v>0</v>
      </c>
      <c r="V29" s="29">
        <f t="shared" si="9"/>
        <v>0</v>
      </c>
      <c r="W29" s="28">
        <f>PT!W29</f>
        <v>0</v>
      </c>
      <c r="X29" s="29">
        <f t="shared" si="10"/>
        <v>0</v>
      </c>
      <c r="Y29" s="28"/>
      <c r="Z29" s="28"/>
      <c r="AA29" s="26">
        <f t="shared" si="11"/>
        <v>0</v>
      </c>
      <c r="AB29" s="26">
        <f>IFERROR(_xlfn.XLOOKUP($C:$C,'DT PPM'!$F:$F,'DT PPM'!$D:$D),0)</f>
        <v>0</v>
      </c>
      <c r="AC29" s="26">
        <f>IFERROR(VLOOKUP(C29,'DT PPM'!$C$3:$E$1048576,3,0),0)</f>
        <v>0</v>
      </c>
    </row>
    <row r="30" spans="2:29" x14ac:dyDescent="0.25">
      <c r="B30" s="28" t="str">
        <f>PT!B30</f>
        <v>PAN BOLLERIA</v>
      </c>
      <c r="C30" s="28">
        <f>PT!C30</f>
        <v>9466</v>
      </c>
      <c r="D30" s="28" t="str">
        <f>PT!D30</f>
        <v>Pan Hamburguesa Har 5in 1p880g Bolsa BIM</v>
      </c>
      <c r="E30" s="28">
        <f>PT!E30</f>
        <v>0</v>
      </c>
      <c r="F30" s="28" t="str">
        <f>PT!F30</f>
        <v>SU105691</v>
      </c>
      <c r="G30" s="28" t="str">
        <f>PT!G30</f>
        <v>MASA HAMBURGUESA HARINA 5 PULG BIM</v>
      </c>
      <c r="H30" s="28">
        <f>PT!H30</f>
        <v>0</v>
      </c>
      <c r="I30" s="28">
        <f>PT!I30</f>
        <v>18360</v>
      </c>
      <c r="J30" s="28">
        <f>PT!J30</f>
        <v>1836</v>
      </c>
      <c r="K30" s="28">
        <f>PT!K30</f>
        <v>0.91900000000000004</v>
      </c>
      <c r="L30" s="28">
        <f>PT!L30</f>
        <v>1.6872799999999999</v>
      </c>
      <c r="M30" s="28">
        <f>PT!M30</f>
        <v>4</v>
      </c>
      <c r="N30" s="29">
        <f t="shared" si="5"/>
        <v>0.23539381385057201</v>
      </c>
      <c r="O30" s="28">
        <f>PT!O30</f>
        <v>8</v>
      </c>
      <c r="P30" s="29">
        <f t="shared" si="6"/>
        <v>0.47078762770114402</v>
      </c>
      <c r="Q30" s="28">
        <f>PT!Q30</f>
        <v>12</v>
      </c>
      <c r="R30" s="29">
        <f t="shared" si="7"/>
        <v>0.70618144155171603</v>
      </c>
      <c r="S30" s="28">
        <f>PT!S30</f>
        <v>4</v>
      </c>
      <c r="T30" s="29">
        <f t="shared" si="8"/>
        <v>0.23539381385057201</v>
      </c>
      <c r="U30" s="28">
        <f>PT!U30</f>
        <v>8</v>
      </c>
      <c r="V30" s="29">
        <f t="shared" si="9"/>
        <v>0.47189844745410792</v>
      </c>
      <c r="W30" s="28">
        <f>PT!W30</f>
        <v>4</v>
      </c>
      <c r="X30" s="29">
        <f t="shared" si="10"/>
        <v>0.23539381385057201</v>
      </c>
      <c r="Y30" s="28"/>
      <c r="Z30" s="28"/>
      <c r="AA30" s="26">
        <f t="shared" si="11"/>
        <v>0</v>
      </c>
      <c r="AB30" s="26">
        <f>IFERROR(_xlfn.XLOOKUP($C:$C,'DT PPM'!$F:$F,'DT PPM'!$D:$D),0)</f>
        <v>0</v>
      </c>
      <c r="AC30" s="26">
        <f>IFERROR(VLOOKUP(C30,'DT PPM'!$C$3:$E$1048576,3,0),0)</f>
        <v>0</v>
      </c>
    </row>
    <row r="31" spans="2:29" x14ac:dyDescent="0.25">
      <c r="B31" s="28" t="str">
        <f>PT!B31</f>
        <v>PAN BOLLERIA</v>
      </c>
      <c r="C31" s="28">
        <f>PT!C31</f>
        <v>963582</v>
      </c>
      <c r="D31" s="28" t="str">
        <f>PT!D31</f>
        <v>Pan Blanco 10p 5800g CJA BIM</v>
      </c>
      <c r="E31" s="28">
        <f>PT!E31</f>
        <v>0</v>
      </c>
      <c r="F31" s="28" t="str">
        <f>PT!F31</f>
        <v>S962599</v>
      </c>
      <c r="G31" s="28" t="str">
        <f>PT!G31</f>
        <v>MASA PAN BLANCO LECHE 580G</v>
      </c>
      <c r="H31" s="28" t="str">
        <f>PT!H31</f>
        <v>3472.00*</v>
      </c>
      <c r="I31" s="28">
        <f>PT!I31</f>
        <v>9450</v>
      </c>
      <c r="J31" s="28">
        <f>PT!J31</f>
        <v>945</v>
      </c>
      <c r="K31" s="28">
        <f>PT!K31</f>
        <v>5.9790000000000001</v>
      </c>
      <c r="L31" s="28">
        <f>PT!L31</f>
        <v>5.65015</v>
      </c>
      <c r="M31" s="28">
        <f>PT!M31</f>
        <v>11</v>
      </c>
      <c r="N31" s="29">
        <f t="shared" si="5"/>
        <v>0.19430681045370643</v>
      </c>
      <c r="O31" s="28">
        <f>PT!O31</f>
        <v>0</v>
      </c>
      <c r="P31" s="29">
        <f t="shared" si="6"/>
        <v>0</v>
      </c>
      <c r="Q31" s="28">
        <f>PT!Q31</f>
        <v>11</v>
      </c>
      <c r="R31" s="29">
        <f t="shared" si="7"/>
        <v>0.19430681045370643</v>
      </c>
      <c r="S31" s="28">
        <f>PT!S31</f>
        <v>11</v>
      </c>
      <c r="T31" s="29">
        <f t="shared" si="8"/>
        <v>0.19430681045370643</v>
      </c>
      <c r="U31" s="28">
        <f>PT!U31</f>
        <v>0</v>
      </c>
      <c r="V31" s="29">
        <f t="shared" si="9"/>
        <v>0</v>
      </c>
      <c r="W31" s="28">
        <f>PT!W31</f>
        <v>11</v>
      </c>
      <c r="X31" s="29">
        <f t="shared" si="10"/>
        <v>0.19430681045370643</v>
      </c>
      <c r="Y31" s="28"/>
      <c r="Z31" s="28"/>
      <c r="AA31" s="26">
        <f t="shared" si="11"/>
        <v>0</v>
      </c>
      <c r="AB31" s="26">
        <f>IFERROR(_xlfn.XLOOKUP($C:$C,'DT PPM'!$F:$F,'DT PPM'!$D:$D),0)</f>
        <v>0</v>
      </c>
      <c r="AC31" s="26">
        <f>IFERROR(VLOOKUP(C31,'DT PPM'!$C$3:$E$1048576,3,0),0)</f>
        <v>0</v>
      </c>
    </row>
    <row r="32" spans="2:29" x14ac:dyDescent="0.25">
      <c r="B32" s="28" t="str">
        <f>PT!B32</f>
        <v>PAN BOLLERIA</v>
      </c>
      <c r="C32" s="28">
        <f>PT!C32</f>
        <v>963603</v>
      </c>
      <c r="D32" s="28" t="str">
        <f>PT!D32</f>
        <v>Duopack Pan Blanco 2p 1200g BOLSA BIM</v>
      </c>
      <c r="E32" s="28" t="str">
        <f>PT!E32</f>
        <v>BG</v>
      </c>
      <c r="F32" s="28" t="str">
        <f>PT!F32</f>
        <v>S962605</v>
      </c>
      <c r="G32" s="28" t="str">
        <f>PT!G32</f>
        <v>MASA PAN BLANCO LECHE 600G</v>
      </c>
      <c r="H32" s="28">
        <f>PT!H32</f>
        <v>2513.6999999999998</v>
      </c>
      <c r="I32" s="28">
        <f>PT!I32</f>
        <v>320</v>
      </c>
      <c r="J32" s="28">
        <f>PT!J32</f>
        <v>160</v>
      </c>
      <c r="K32" s="28">
        <f>PT!K32</f>
        <v>1.2208000000000001</v>
      </c>
      <c r="L32" s="28">
        <f>PT!L32</f>
        <v>0.19531999999999999</v>
      </c>
      <c r="M32" s="28">
        <f>PT!M32</f>
        <v>0</v>
      </c>
      <c r="N32" s="29">
        <f t="shared" si="5"/>
        <v>0</v>
      </c>
      <c r="O32" s="28">
        <f>PT!O32</f>
        <v>0</v>
      </c>
      <c r="P32" s="29">
        <f t="shared" si="6"/>
        <v>0</v>
      </c>
      <c r="Q32" s="28">
        <f>PT!Q32</f>
        <v>0</v>
      </c>
      <c r="R32" s="29">
        <f t="shared" si="7"/>
        <v>0</v>
      </c>
      <c r="S32" s="28">
        <f>PT!S32</f>
        <v>0</v>
      </c>
      <c r="T32" s="29">
        <f t="shared" si="8"/>
        <v>0</v>
      </c>
      <c r="U32" s="28">
        <f>PT!U32</f>
        <v>0</v>
      </c>
      <c r="V32" s="29">
        <f t="shared" si="9"/>
        <v>0</v>
      </c>
      <c r="W32" s="28">
        <f>PT!W32</f>
        <v>0</v>
      </c>
      <c r="X32" s="29">
        <f t="shared" si="10"/>
        <v>0</v>
      </c>
      <c r="Y32" s="28"/>
      <c r="Z32" s="28"/>
      <c r="AA32" s="26">
        <f t="shared" si="11"/>
        <v>0</v>
      </c>
      <c r="AB32" s="26">
        <f>IFERROR(_xlfn.XLOOKUP($C:$C,'DT PPM'!$F:$F,'DT PPM'!$D:$D),0)</f>
        <v>0</v>
      </c>
      <c r="AC32" s="26">
        <f>IFERROR(VLOOKUP(C32,'DT PPM'!$C$3:$E$1048576,3,0),0)</f>
        <v>0</v>
      </c>
    </row>
    <row r="33" spans="2:29" x14ac:dyDescent="0.25">
      <c r="B33" s="28" t="str">
        <f>PT!B33</f>
        <v>PAN BOLLERIA</v>
      </c>
      <c r="C33" s="28">
        <f>PT!C33</f>
        <v>963728</v>
      </c>
      <c r="D33" s="28" t="str">
        <f>PT!D33</f>
        <v>Pan Bln TT 1p 450g BOLSA LAL</v>
      </c>
      <c r="E33" s="28" t="str">
        <f>PT!E33</f>
        <v>EACH</v>
      </c>
      <c r="F33" s="28" t="str">
        <f>PT!F33</f>
        <v>S4582</v>
      </c>
      <c r="G33" s="28" t="str">
        <f>PT!G33</f>
        <v>MASA PAN BLANCO 450G LALO</v>
      </c>
      <c r="H33" s="28">
        <f>PT!H33</f>
        <v>4524.8</v>
      </c>
      <c r="I33" s="28">
        <f>PT!I33</f>
        <v>3040</v>
      </c>
      <c r="J33" s="28">
        <f>PT!J33</f>
        <v>3040</v>
      </c>
      <c r="K33" s="28">
        <f>PT!K33</f>
        <v>0.47299999999999998</v>
      </c>
      <c r="L33" s="28">
        <f>PT!L33</f>
        <v>1.4379200000000001</v>
      </c>
      <c r="M33" s="28">
        <f>PT!M33</f>
        <v>0</v>
      </c>
      <c r="N33" s="29">
        <f t="shared" si="5"/>
        <v>0</v>
      </c>
      <c r="O33" s="28">
        <f>PT!O33</f>
        <v>0</v>
      </c>
      <c r="P33" s="29">
        <f t="shared" si="6"/>
        <v>0</v>
      </c>
      <c r="Q33" s="28">
        <f>PT!Q33</f>
        <v>0</v>
      </c>
      <c r="R33" s="29">
        <f t="shared" si="7"/>
        <v>0</v>
      </c>
      <c r="S33" s="28">
        <f>PT!S33</f>
        <v>0</v>
      </c>
      <c r="T33" s="29">
        <f t="shared" si="8"/>
        <v>0</v>
      </c>
      <c r="U33" s="28">
        <f>PT!U33</f>
        <v>0</v>
      </c>
      <c r="V33" s="29">
        <f t="shared" si="9"/>
        <v>0</v>
      </c>
      <c r="W33" s="28">
        <f>PT!W33</f>
        <v>0</v>
      </c>
      <c r="X33" s="29">
        <f t="shared" si="10"/>
        <v>0</v>
      </c>
      <c r="Y33" s="28"/>
      <c r="Z33" s="28"/>
      <c r="AA33" s="26">
        <f t="shared" si="11"/>
        <v>0</v>
      </c>
      <c r="AB33" s="26">
        <f>IFERROR(_xlfn.XLOOKUP($C:$C,'DT PPM'!$F:$F,'DT PPM'!$D:$D),0)</f>
        <v>0</v>
      </c>
      <c r="AC33" s="26">
        <f>IFERROR(VLOOKUP(C33,'DT PPM'!$C$3:$E$1048576,3,0),0)</f>
        <v>0</v>
      </c>
    </row>
    <row r="34" spans="2:29" x14ac:dyDescent="0.25">
      <c r="B34" s="28" t="str">
        <f>PT!B34</f>
        <v>PAN BOLLERIA</v>
      </c>
      <c r="C34" s="28">
        <f>PT!C34</f>
        <v>963824</v>
      </c>
      <c r="D34" s="28" t="str">
        <f>PT!D34</f>
        <v>Duo Pack Pan Artesano Blanco MM 2p</v>
      </c>
      <c r="E34" s="28" t="str">
        <f>PT!E34</f>
        <v>EACH</v>
      </c>
      <c r="F34" s="28" t="str">
        <f>PT!F34</f>
        <v>SU105902</v>
      </c>
      <c r="G34" s="28" t="str">
        <f>PT!G34</f>
        <v>MASA PAN BLANCO ARTESANAL 500G MASA MADRE</v>
      </c>
      <c r="H34" s="28">
        <f>PT!H34</f>
        <v>2988</v>
      </c>
      <c r="I34" s="28">
        <f>PT!I34</f>
        <v>520</v>
      </c>
      <c r="J34" s="28">
        <f>PT!J34</f>
        <v>260</v>
      </c>
      <c r="K34" s="28">
        <f>PT!K34</f>
        <v>1</v>
      </c>
      <c r="L34" s="28">
        <f>PT!L34</f>
        <v>0.26</v>
      </c>
      <c r="M34" s="28">
        <f>PT!M34</f>
        <v>0</v>
      </c>
      <c r="N34" s="29">
        <f t="shared" si="5"/>
        <v>0</v>
      </c>
      <c r="O34" s="28">
        <f>PT!O34</f>
        <v>0</v>
      </c>
      <c r="P34" s="29">
        <f t="shared" si="6"/>
        <v>0</v>
      </c>
      <c r="Q34" s="28">
        <f>PT!Q34</f>
        <v>0</v>
      </c>
      <c r="R34" s="29">
        <f t="shared" si="7"/>
        <v>0</v>
      </c>
      <c r="S34" s="28">
        <f>PT!S34</f>
        <v>0</v>
      </c>
      <c r="T34" s="29">
        <f t="shared" si="8"/>
        <v>0</v>
      </c>
      <c r="U34" s="28">
        <f>PT!U34</f>
        <v>0</v>
      </c>
      <c r="V34" s="29">
        <f t="shared" si="9"/>
        <v>0</v>
      </c>
      <c r="W34" s="28">
        <f>PT!W34</f>
        <v>0</v>
      </c>
      <c r="X34" s="29">
        <f t="shared" si="10"/>
        <v>0</v>
      </c>
      <c r="Y34" s="28"/>
      <c r="Z34" s="28"/>
      <c r="AA34" s="26">
        <f t="shared" si="11"/>
        <v>0</v>
      </c>
      <c r="AB34" s="26">
        <f>IFERROR(_xlfn.XLOOKUP($C:$C,'DT PPM'!$F:$F,'DT PPM'!$D:$D),0)</f>
        <v>0</v>
      </c>
      <c r="AC34" s="26">
        <f>IFERROR(VLOOKUP(C34,'DT PPM'!$C$3:$E$1048576,3,0),0)</f>
        <v>0</v>
      </c>
    </row>
    <row r="35" spans="2:29" x14ac:dyDescent="0.25">
      <c r="B35" s="28" t="str">
        <f>PT!B35</f>
        <v>PAN BOLLERIA</v>
      </c>
      <c r="C35" s="28">
        <f>PT!C35</f>
        <v>963833</v>
      </c>
      <c r="D35" s="28" t="str">
        <f>PT!D35</f>
        <v>Pan Blanco Artes MM 1p 500g BOLSA BIM</v>
      </c>
      <c r="E35" s="28" t="str">
        <f>PT!E35</f>
        <v>EACH</v>
      </c>
      <c r="F35" s="28" t="str">
        <f>PT!F35</f>
        <v>SU105902</v>
      </c>
      <c r="G35" s="28" t="str">
        <f>PT!G35</f>
        <v>MASA PAN BLANCO ARTESANAL 500G MASA MADRE</v>
      </c>
      <c r="H35" s="28">
        <f>PT!H35</f>
        <v>2988</v>
      </c>
      <c r="I35" s="28">
        <f>PT!I35</f>
        <v>3465</v>
      </c>
      <c r="J35" s="28">
        <f>PT!J35</f>
        <v>3465</v>
      </c>
      <c r="K35" s="28">
        <f>PT!K35</f>
        <v>0.50360000000000005</v>
      </c>
      <c r="L35" s="28">
        <f>PT!L35</f>
        <v>1.7449699999999999</v>
      </c>
      <c r="M35" s="28">
        <f>PT!M35</f>
        <v>25</v>
      </c>
      <c r="N35" s="29">
        <f t="shared" si="5"/>
        <v>1.3691353089043086</v>
      </c>
      <c r="O35" s="28">
        <f>PT!O35</f>
        <v>56</v>
      </c>
      <c r="P35" s="29">
        <f t="shared" si="6"/>
        <v>3.0668630919456508</v>
      </c>
      <c r="Q35" s="28">
        <f>PT!Q35</f>
        <v>81</v>
      </c>
      <c r="R35" s="29">
        <f t="shared" si="7"/>
        <v>4.4359984008499591</v>
      </c>
      <c r="S35" s="28">
        <f>PT!S35</f>
        <v>0</v>
      </c>
      <c r="T35" s="29">
        <f t="shared" si="8"/>
        <v>0</v>
      </c>
      <c r="U35" s="28">
        <f>PT!U35</f>
        <v>81</v>
      </c>
      <c r="V35" s="29">
        <f t="shared" si="9"/>
        <v>4.4359984008499591</v>
      </c>
      <c r="W35" s="28">
        <f>PT!W35</f>
        <v>0</v>
      </c>
      <c r="X35" s="29">
        <f t="shared" si="10"/>
        <v>0</v>
      </c>
      <c r="Y35" s="28"/>
      <c r="Z35" s="28"/>
      <c r="AA35" s="26">
        <f t="shared" si="11"/>
        <v>0</v>
      </c>
      <c r="AB35" s="26">
        <f>IFERROR(_xlfn.XLOOKUP($C:$C,'DT PPM'!$F:$F,'DT PPM'!$D:$D),0)</f>
        <v>0</v>
      </c>
      <c r="AC35" s="26">
        <f>IFERROR(VLOOKUP(C35,'DT PPM'!$C$3:$E$1048576,3,0),0)</f>
        <v>0</v>
      </c>
    </row>
    <row r="36" spans="2:29" x14ac:dyDescent="0.25">
      <c r="B36" s="28" t="str">
        <f>PT!B36</f>
        <v>PAN BOLLERIA</v>
      </c>
      <c r="C36" s="28">
        <f>PT!C36</f>
        <v>963909</v>
      </c>
      <c r="D36" s="28" t="str">
        <f>PT!D36</f>
        <v>Pan Artesano Blanco MM 8p 4000g CJA BIM</v>
      </c>
      <c r="E36" s="28" t="str">
        <f>PT!E36</f>
        <v>EACH</v>
      </c>
      <c r="F36" s="28" t="str">
        <f>PT!F36</f>
        <v>SU105902</v>
      </c>
      <c r="G36" s="28" t="str">
        <f>PT!G36</f>
        <v>MASA PAN BLANCO ARTESANAL 500G MASA MADRE</v>
      </c>
      <c r="H36" s="28" t="str">
        <f>PT!H36</f>
        <v>2988.00*</v>
      </c>
      <c r="I36" s="28">
        <f>PT!I36</f>
        <v>5040</v>
      </c>
      <c r="J36" s="28">
        <f>PT!J36</f>
        <v>630</v>
      </c>
      <c r="K36" s="28">
        <f>PT!K36</f>
        <v>4.08</v>
      </c>
      <c r="L36" s="28">
        <f>PT!L36</f>
        <v>2.5703999999999998</v>
      </c>
      <c r="M36" s="28">
        <f>PT!M36</f>
        <v>0</v>
      </c>
      <c r="N36" s="29">
        <f t="shared" si="5"/>
        <v>0</v>
      </c>
      <c r="O36" s="28">
        <f>PT!O36</f>
        <v>0</v>
      </c>
      <c r="P36" s="29">
        <f t="shared" si="6"/>
        <v>0</v>
      </c>
      <c r="Q36" s="28">
        <f>PT!Q36</f>
        <v>0</v>
      </c>
      <c r="R36" s="29">
        <f t="shared" si="7"/>
        <v>0</v>
      </c>
      <c r="S36" s="28">
        <f>PT!S36</f>
        <v>0</v>
      </c>
      <c r="T36" s="29">
        <f t="shared" si="8"/>
        <v>0</v>
      </c>
      <c r="U36" s="28">
        <f>PT!U36</f>
        <v>0</v>
      </c>
      <c r="V36" s="29">
        <f t="shared" si="9"/>
        <v>0</v>
      </c>
      <c r="W36" s="28">
        <f>PT!W36</f>
        <v>0</v>
      </c>
      <c r="X36" s="29">
        <f t="shared" si="10"/>
        <v>0</v>
      </c>
      <c r="Y36" s="28"/>
      <c r="Z36" s="28"/>
      <c r="AA36" s="26">
        <f t="shared" si="11"/>
        <v>0</v>
      </c>
      <c r="AB36" s="26">
        <f>IFERROR(_xlfn.XLOOKUP($C:$C,'DT PPM'!$F:$F,'DT PPM'!$D:$D),0)</f>
        <v>0</v>
      </c>
      <c r="AC36" s="26">
        <f>IFERROR(VLOOKUP(C36,'DT PPM'!$C$3:$E$1048576,3,0),0)</f>
        <v>0</v>
      </c>
    </row>
    <row r="37" spans="2:29" x14ac:dyDescent="0.25">
      <c r="B37" s="28" t="str">
        <f>PT!B37</f>
        <v>PAN BOLLERIA</v>
      </c>
      <c r="C37" s="28">
        <f>PT!C37</f>
        <v>964010</v>
      </c>
      <c r="D37" s="28" t="str">
        <f>PT!D37</f>
        <v>Pan Blanco PRO 10p 4700g CJA BIM</v>
      </c>
      <c r="E37" s="28" t="str">
        <f>PT!E37</f>
        <v>CG</v>
      </c>
      <c r="F37" s="28" t="str">
        <f>PT!F37</f>
        <v>S962414</v>
      </c>
      <c r="G37" s="28" t="str">
        <f>PT!G37</f>
        <v>MASA PAN BLANCO LECHE 470G</v>
      </c>
      <c r="H37" s="28" t="str">
        <f>PT!H37</f>
        <v>5291.00*</v>
      </c>
      <c r="I37" s="28">
        <f>PT!I37</f>
        <v>580</v>
      </c>
      <c r="J37" s="28">
        <f>PT!J37</f>
        <v>58</v>
      </c>
      <c r="K37" s="28">
        <f>PT!K37</f>
        <v>4.8357000000000001</v>
      </c>
      <c r="L37" s="28">
        <f>PT!L37</f>
        <v>0.28047</v>
      </c>
      <c r="M37" s="28">
        <f>PT!M37</f>
        <v>0</v>
      </c>
      <c r="N37" s="29">
        <f t="shared" si="5"/>
        <v>0</v>
      </c>
      <c r="O37" s="28">
        <f>PT!O37</f>
        <v>0</v>
      </c>
      <c r="P37" s="29">
        <f t="shared" si="6"/>
        <v>0</v>
      </c>
      <c r="Q37" s="28">
        <f>PT!Q37</f>
        <v>0</v>
      </c>
      <c r="R37" s="29">
        <f t="shared" si="7"/>
        <v>0</v>
      </c>
      <c r="S37" s="28">
        <f>PT!S37</f>
        <v>0</v>
      </c>
      <c r="T37" s="29">
        <f t="shared" si="8"/>
        <v>0</v>
      </c>
      <c r="U37" s="28">
        <f>PT!U37</f>
        <v>0</v>
      </c>
      <c r="V37" s="29">
        <f t="shared" si="9"/>
        <v>0</v>
      </c>
      <c r="W37" s="28">
        <f>PT!W37</f>
        <v>0</v>
      </c>
      <c r="X37" s="29">
        <f t="shared" si="10"/>
        <v>0</v>
      </c>
      <c r="Y37" s="28"/>
      <c r="Z37" s="28"/>
      <c r="AA37" s="26">
        <f t="shared" si="11"/>
        <v>0</v>
      </c>
      <c r="AB37" s="26">
        <f>IFERROR(_xlfn.XLOOKUP($C:$C,'DT PPM'!$F:$F,'DT PPM'!$D:$D),0)</f>
        <v>0</v>
      </c>
      <c r="AC37" s="26">
        <f>IFERROR(VLOOKUP(C37,'DT PPM'!$C$3:$E$1048576,3,0),0)</f>
        <v>0</v>
      </c>
    </row>
    <row r="38" spans="2:29" x14ac:dyDescent="0.25">
      <c r="B38" s="28" t="str">
        <f>PT!B38</f>
        <v>PAN BOLLERIA</v>
      </c>
      <c r="C38" s="28">
        <f>PT!C38</f>
        <v>9685</v>
      </c>
      <c r="D38" s="28" t="str">
        <f>PT!D38</f>
        <v>Pan Hamburguesa 5in 1p 880g Bolsa BIM</v>
      </c>
      <c r="E38" s="28" t="str">
        <f>PT!E38</f>
        <v>EACH</v>
      </c>
      <c r="F38" s="28" t="str">
        <f>PT!F38</f>
        <v>S500</v>
      </c>
      <c r="G38" s="28" t="str">
        <f>PT!G38</f>
        <v>MASA HAMBURGUESA 5"</v>
      </c>
      <c r="H38" s="28">
        <f>PT!H38</f>
        <v>0</v>
      </c>
      <c r="I38" s="28">
        <f>PT!I38</f>
        <v>4080</v>
      </c>
      <c r="J38" s="28">
        <f>PT!J38</f>
        <v>408</v>
      </c>
      <c r="K38" s="28">
        <f>PT!K38</f>
        <v>0.91</v>
      </c>
      <c r="L38" s="28">
        <f>PT!L38</f>
        <v>0.37128</v>
      </c>
      <c r="M38" s="28">
        <f>PT!M38</f>
        <v>0</v>
      </c>
      <c r="N38" s="29">
        <f t="shared" si="5"/>
        <v>0</v>
      </c>
      <c r="O38" s="28">
        <f>PT!O38</f>
        <v>30</v>
      </c>
      <c r="P38" s="29">
        <f t="shared" si="6"/>
        <v>7.4760765550239237</v>
      </c>
      <c r="Q38" s="28">
        <f>PT!Q38</f>
        <v>30</v>
      </c>
      <c r="R38" s="29">
        <f t="shared" si="7"/>
        <v>7.4760765550239237</v>
      </c>
      <c r="S38" s="28">
        <f>PT!S38</f>
        <v>0</v>
      </c>
      <c r="T38" s="29">
        <f t="shared" si="8"/>
        <v>0</v>
      </c>
      <c r="U38" s="28">
        <f>PT!U38</f>
        <v>30</v>
      </c>
      <c r="V38" s="29">
        <f t="shared" si="9"/>
        <v>7.4760765550239237</v>
      </c>
      <c r="W38" s="28">
        <f>PT!W38</f>
        <v>0</v>
      </c>
      <c r="X38" s="29">
        <f t="shared" si="10"/>
        <v>0</v>
      </c>
      <c r="Y38" s="28"/>
      <c r="Z38" s="28"/>
      <c r="AA38" s="26">
        <f t="shared" si="11"/>
        <v>0</v>
      </c>
      <c r="AB38" s="26">
        <f>IFERROR(_xlfn.XLOOKUP($C:$C,'DT PPM'!$F:$F,'DT PPM'!$D:$D),0)</f>
        <v>0</v>
      </c>
      <c r="AC38" s="26">
        <f>IFERROR(VLOOKUP(C38,'DT PPM'!$C$3:$E$1048576,3,0),0)</f>
        <v>0</v>
      </c>
    </row>
    <row r="39" spans="2:29" x14ac:dyDescent="0.25">
      <c r="B39" s="28" t="str">
        <f>PT!B39</f>
        <v>PAN BOLLERIA</v>
      </c>
      <c r="C39" s="28">
        <f>PT!C39</f>
        <v>29580</v>
      </c>
      <c r="D39" s="28" t="str">
        <f>PT!D39</f>
        <v>Pan Artesano Blanco 1p 500g Bolsa BIM</v>
      </c>
      <c r="E39" s="28">
        <f>PT!E39</f>
        <v>0</v>
      </c>
      <c r="F39" s="28">
        <f>PT!F39</f>
        <v>0</v>
      </c>
      <c r="G39" s="28">
        <f>PT!G39</f>
        <v>0</v>
      </c>
      <c r="H39" s="28">
        <f>PT!H39</f>
        <v>0</v>
      </c>
      <c r="I39" s="28">
        <f>PT!I39</f>
        <v>0</v>
      </c>
      <c r="J39" s="28">
        <f>PT!J39</f>
        <v>0</v>
      </c>
      <c r="K39" s="28">
        <f>PT!K39</f>
        <v>0</v>
      </c>
      <c r="L39" s="28">
        <f>PT!L39</f>
        <v>0</v>
      </c>
      <c r="M39" s="28">
        <f>PT!M39</f>
        <v>8</v>
      </c>
      <c r="N39" s="29">
        <f t="shared" si="5"/>
        <v>100</v>
      </c>
      <c r="O39" s="28">
        <f>PT!O39</f>
        <v>0</v>
      </c>
      <c r="P39" s="29">
        <f t="shared" si="6"/>
        <v>0</v>
      </c>
      <c r="Q39" s="28">
        <f>PT!Q39</f>
        <v>8</v>
      </c>
      <c r="R39" s="29">
        <f t="shared" si="7"/>
        <v>100</v>
      </c>
      <c r="S39" s="28">
        <f>PT!S39</f>
        <v>0</v>
      </c>
      <c r="T39" s="29">
        <f t="shared" si="8"/>
        <v>0</v>
      </c>
      <c r="U39" s="28">
        <f>PT!U39</f>
        <v>8</v>
      </c>
      <c r="V39" s="29">
        <f t="shared" si="9"/>
        <v>100</v>
      </c>
      <c r="W39" s="28">
        <f>PT!W39</f>
        <v>0</v>
      </c>
      <c r="X39" s="29">
        <f t="shared" si="10"/>
        <v>0</v>
      </c>
      <c r="Y39" s="28"/>
      <c r="Z39" s="28"/>
      <c r="AA39" s="26">
        <f t="shared" si="11"/>
        <v>0</v>
      </c>
      <c r="AB39" s="26">
        <f>IFERROR(_xlfn.XLOOKUP($C:$C,'DT PPM'!$F:$F,'DT PPM'!$D:$D),0)</f>
        <v>0</v>
      </c>
      <c r="AC39" s="26">
        <f>IFERROR(VLOOKUP(C39,'DT PPM'!$C$3:$E$1048576,3,0),0)</f>
        <v>0</v>
      </c>
    </row>
    <row r="40" spans="2:29" x14ac:dyDescent="0.25">
      <c r="B40" s="28" t="str">
        <f>PT!B40</f>
        <v>PAN BOLLERIA</v>
      </c>
      <c r="C40" s="28">
        <f>PT!C40</f>
        <v>39707</v>
      </c>
      <c r="D40" s="28" t="str">
        <f>PT!D40</f>
        <v>Pan Integral 1p 570g Bolsa LAL</v>
      </c>
      <c r="E40" s="28">
        <f>PT!E40</f>
        <v>0</v>
      </c>
      <c r="F40" s="28">
        <f>PT!F40</f>
        <v>0</v>
      </c>
      <c r="G40" s="28">
        <f>PT!G40</f>
        <v>0</v>
      </c>
      <c r="H40" s="28">
        <f>PT!H40</f>
        <v>0</v>
      </c>
      <c r="I40" s="28">
        <f>PT!I40</f>
        <v>0</v>
      </c>
      <c r="J40" s="28">
        <f>PT!J40</f>
        <v>0</v>
      </c>
      <c r="K40" s="28">
        <f>PT!K40</f>
        <v>0</v>
      </c>
      <c r="L40" s="28">
        <f>PT!L40</f>
        <v>0</v>
      </c>
      <c r="M40" s="28">
        <f>PT!M40</f>
        <v>17.91</v>
      </c>
      <c r="N40" s="29">
        <f t="shared" si="5"/>
        <v>100</v>
      </c>
      <c r="O40" s="28">
        <f>PT!O40</f>
        <v>0</v>
      </c>
      <c r="P40" s="29">
        <f t="shared" si="6"/>
        <v>0</v>
      </c>
      <c r="Q40" s="28">
        <f>PT!Q40</f>
        <v>17.91</v>
      </c>
      <c r="R40" s="29">
        <f t="shared" si="7"/>
        <v>100</v>
      </c>
      <c r="S40" s="28">
        <f>PT!S40</f>
        <v>15</v>
      </c>
      <c r="T40" s="29">
        <f t="shared" si="8"/>
        <v>83.752093802345058</v>
      </c>
      <c r="U40" s="28">
        <f>PT!U40</f>
        <v>0</v>
      </c>
      <c r="V40" s="29">
        <f t="shared" si="9"/>
        <v>0</v>
      </c>
      <c r="W40" s="28">
        <f>PT!W40</f>
        <v>17.91</v>
      </c>
      <c r="X40" s="29">
        <f t="shared" si="10"/>
        <v>100</v>
      </c>
      <c r="Y40" s="28"/>
      <c r="Z40" s="28"/>
      <c r="AA40" s="26">
        <f t="shared" si="11"/>
        <v>0</v>
      </c>
      <c r="AB40" s="26">
        <f>IFERROR(_xlfn.XLOOKUP($C:$C,'DT PPM'!$F:$F,'DT PPM'!$D:$D),0)</f>
        <v>0</v>
      </c>
      <c r="AC40" s="26">
        <f>IFERROR(VLOOKUP(C40,'DT PPM'!$C$3:$E$1048576,3,0),0)</f>
        <v>0</v>
      </c>
    </row>
    <row r="41" spans="2:29" x14ac:dyDescent="0.25">
      <c r="B41" s="28">
        <f>PT!B41</f>
        <v>0</v>
      </c>
      <c r="C41" s="28">
        <f>PT!C41</f>
        <v>0</v>
      </c>
      <c r="D41" s="28">
        <f>PT!D41</f>
        <v>0</v>
      </c>
      <c r="E41" s="28">
        <f>PT!E41</f>
        <v>0</v>
      </c>
      <c r="F41" s="28">
        <f>PT!F41</f>
        <v>0</v>
      </c>
      <c r="G41" s="28">
        <f>PT!G41</f>
        <v>0</v>
      </c>
      <c r="H41" s="28">
        <f>PT!H41</f>
        <v>0</v>
      </c>
      <c r="I41" s="28">
        <f>PT!I41</f>
        <v>0</v>
      </c>
      <c r="J41" s="28">
        <f>PT!J41</f>
        <v>0</v>
      </c>
      <c r="K41" s="28">
        <f>PT!K41</f>
        <v>0</v>
      </c>
      <c r="L41" s="28">
        <f>PT!L41</f>
        <v>0</v>
      </c>
      <c r="M41" s="28">
        <f>PT!M41</f>
        <v>0</v>
      </c>
      <c r="N41" s="29">
        <f t="shared" si="5"/>
        <v>0</v>
      </c>
      <c r="O41" s="28">
        <f>PT!O41</f>
        <v>0</v>
      </c>
      <c r="P41" s="29">
        <f t="shared" si="6"/>
        <v>0</v>
      </c>
      <c r="Q41" s="28">
        <f>PT!Q41</f>
        <v>0</v>
      </c>
      <c r="R41" s="29">
        <f t="shared" si="7"/>
        <v>0</v>
      </c>
      <c r="S41" s="28">
        <f>PT!S41</f>
        <v>0</v>
      </c>
      <c r="T41" s="29">
        <f t="shared" si="8"/>
        <v>0</v>
      </c>
      <c r="U41" s="28">
        <f>PT!U41</f>
        <v>0</v>
      </c>
      <c r="V41" s="29">
        <f t="shared" si="9"/>
        <v>0</v>
      </c>
      <c r="W41" s="28">
        <f>PT!W41</f>
        <v>0</v>
      </c>
      <c r="X41" s="29">
        <f t="shared" si="10"/>
        <v>0</v>
      </c>
      <c r="Y41" s="28"/>
      <c r="Z41" s="28"/>
      <c r="AA41" s="26">
        <f t="shared" si="11"/>
        <v>0</v>
      </c>
      <c r="AB41" s="26">
        <f>IFERROR(_xlfn.XLOOKUP($C:$C,'DT PPM'!$F:$F,'DT PPM'!$D:$D),0)</f>
        <v>0</v>
      </c>
      <c r="AC41" s="26">
        <f>IFERROR(VLOOKUP(C41,'DT PPM'!$C$3:$E$1048576,3,0),0)</f>
        <v>0</v>
      </c>
    </row>
    <row r="42" spans="2:29" x14ac:dyDescent="0.25">
      <c r="B42" s="48" t="str">
        <f>PT!B42</f>
        <v>PAN BOLLERIA</v>
      </c>
      <c r="C42" s="48" t="str">
        <f>PT!C42</f>
        <v>Total</v>
      </c>
      <c r="D42" s="48">
        <f>PT!D42</f>
        <v>0</v>
      </c>
      <c r="E42" s="48">
        <f>PT!E42</f>
        <v>0</v>
      </c>
      <c r="F42" s="46">
        <f>PT!F42</f>
        <v>0</v>
      </c>
      <c r="G42" s="46">
        <f>PT!G42</f>
        <v>0</v>
      </c>
      <c r="H42" s="46">
        <f>PT!H42</f>
        <v>138961.54</v>
      </c>
      <c r="I42" s="46">
        <f>PT!I42</f>
        <v>242606</v>
      </c>
      <c r="J42" s="46">
        <f>PT!J42</f>
        <v>63588</v>
      </c>
      <c r="K42" s="46">
        <f>PT!K42</f>
        <v>0</v>
      </c>
      <c r="L42" s="46">
        <f>PT!L42</f>
        <v>75.206940000000003</v>
      </c>
      <c r="M42" s="46">
        <f>PT!M42</f>
        <v>653.78</v>
      </c>
      <c r="N42" s="45">
        <f t="shared" si="5"/>
        <v>0.8559826085408152</v>
      </c>
      <c r="O42" s="46">
        <f>PT!O42</f>
        <v>517</v>
      </c>
      <c r="P42" s="45">
        <f t="shared" si="6"/>
        <v>0.67689897001376842</v>
      </c>
      <c r="Q42" s="46">
        <f>PT!Q42</f>
        <v>1170.78</v>
      </c>
      <c r="R42" s="45">
        <f t="shared" si="7"/>
        <v>1.5328815785545835</v>
      </c>
      <c r="S42" s="46">
        <f>PT!S42</f>
        <v>522</v>
      </c>
      <c r="T42" s="45">
        <f t="shared" si="8"/>
        <v>0.6834453817160292</v>
      </c>
      <c r="U42" s="46">
        <f>PT!U42</f>
        <v>555</v>
      </c>
      <c r="V42" s="45">
        <f t="shared" si="9"/>
        <v>0.73255779881032612</v>
      </c>
      <c r="W42" s="46">
        <f>PT!W42</f>
        <v>615.78</v>
      </c>
      <c r="X42" s="45">
        <f t="shared" si="10"/>
        <v>0.80622987960363313</v>
      </c>
      <c r="Y42" s="46"/>
      <c r="Z42" s="46"/>
      <c r="AA42" s="47">
        <f t="shared" si="11"/>
        <v>0</v>
      </c>
      <c r="AB42" s="47">
        <f>IFERROR(_xlfn.XLOOKUP($C:$C,'DT PPM'!$F:$F,'DT PPM'!$D:$D),0)</f>
        <v>0</v>
      </c>
      <c r="AC42" s="47">
        <f>IFERROR(VLOOKUP(C42,'DT PPM'!$C$3:$E$1048576,3,0),0)</f>
        <v>0</v>
      </c>
    </row>
    <row r="43" spans="2:29" x14ac:dyDescent="0.25">
      <c r="B43" s="28" t="str">
        <f>PT!B43</f>
        <v>PANQUELERIA</v>
      </c>
      <c r="C43" s="28">
        <f>PT!C43</f>
        <v>27487</v>
      </c>
      <c r="D43" s="28" t="str">
        <f>PT!D43</f>
        <v>Panque Vainilla 1p 60g FLOW BIM</v>
      </c>
      <c r="E43" s="28" t="str">
        <f>PT!E43</f>
        <v>EACH</v>
      </c>
      <c r="F43" s="28" t="str">
        <f>PT!F43</f>
        <v>S1559</v>
      </c>
      <c r="G43" s="28" t="str">
        <f>PT!G43</f>
        <v>BATIDO PANQUE VAINILLA 60G</v>
      </c>
      <c r="H43" s="28" t="str">
        <f>PT!H43</f>
        <v>23337.99*</v>
      </c>
      <c r="I43" s="28">
        <f>PT!I43</f>
        <v>24564</v>
      </c>
      <c r="J43" s="28">
        <f>PT!J43</f>
        <v>24564</v>
      </c>
      <c r="K43" s="28">
        <f>PT!K43</f>
        <v>6.4799999999999996E-2</v>
      </c>
      <c r="L43" s="28">
        <f>PT!L43</f>
        <v>1.5927199999999999</v>
      </c>
      <c r="M43" s="28">
        <f>PT!M43</f>
        <v>70</v>
      </c>
      <c r="N43" s="29">
        <f t="shared" si="5"/>
        <v>4.1923196703638945</v>
      </c>
      <c r="O43" s="28">
        <f>PT!O43</f>
        <v>7</v>
      </c>
      <c r="P43" s="29">
        <f t="shared" si="6"/>
        <v>0.41923196703638937</v>
      </c>
      <c r="Q43" s="28">
        <f>PT!Q43</f>
        <v>77</v>
      </c>
      <c r="R43" s="29">
        <f t="shared" si="7"/>
        <v>4.6115516374002832</v>
      </c>
      <c r="S43" s="28">
        <f>PT!S43</f>
        <v>70</v>
      </c>
      <c r="T43" s="29">
        <f t="shared" si="8"/>
        <v>4.1923196703638945</v>
      </c>
      <c r="U43" s="28">
        <f>PT!U43</f>
        <v>7</v>
      </c>
      <c r="V43" s="29">
        <f t="shared" si="9"/>
        <v>0.43757657590078275</v>
      </c>
      <c r="W43" s="28">
        <f>PT!W43</f>
        <v>70</v>
      </c>
      <c r="X43" s="29">
        <f t="shared" si="10"/>
        <v>4.1923196703638945</v>
      </c>
      <c r="Y43" s="28"/>
      <c r="Z43" s="28"/>
      <c r="AA43" s="26">
        <f t="shared" si="11"/>
        <v>0</v>
      </c>
      <c r="AB43" s="26">
        <f>IFERROR(_xlfn.XLOOKUP($C:$C,'DT PPM'!$F:$F,'DT PPM'!$D:$D),0)</f>
        <v>0</v>
      </c>
      <c r="AC43" s="26">
        <f>IFERROR(VLOOKUP(C43,'DT PPM'!$C$3:$E$1048576,3,0),0)</f>
        <v>0</v>
      </c>
    </row>
    <row r="44" spans="2:29" x14ac:dyDescent="0.25">
      <c r="B44" s="28" t="str">
        <f>PT!B44</f>
        <v>PANQUELERIA</v>
      </c>
      <c r="C44" s="28">
        <f>PT!C44</f>
        <v>963942</v>
      </c>
      <c r="D44" s="28" t="str">
        <f>PT!D44</f>
        <v>Ponque Redondo Vainilla 1p 200g FLOW BIM</v>
      </c>
      <c r="E44" s="28">
        <f>PT!E44</f>
        <v>0</v>
      </c>
      <c r="F44" s="28" t="str">
        <f>PT!F44</f>
        <v>SU105612</v>
      </c>
      <c r="G44" s="28" t="str">
        <f>PT!G44</f>
        <v>BATIDO PONQUE SABOR VAINILLA 200G</v>
      </c>
      <c r="H44" s="28" t="str">
        <f>PT!H44</f>
        <v>76958.70*</v>
      </c>
      <c r="I44" s="28">
        <f>PT!I44</f>
        <v>75840</v>
      </c>
      <c r="J44" s="28">
        <f>PT!J44</f>
        <v>75840</v>
      </c>
      <c r="K44" s="28">
        <f>PT!K44</f>
        <v>0.20419999999999999</v>
      </c>
      <c r="L44" s="28">
        <f>PT!L44</f>
        <v>15.486520000000001</v>
      </c>
      <c r="M44" s="28">
        <f>PT!M44</f>
        <v>104</v>
      </c>
      <c r="N44" s="29">
        <f t="shared" si="5"/>
        <v>0.66368772981783042</v>
      </c>
      <c r="O44" s="28">
        <f>PT!O44</f>
        <v>79.5</v>
      </c>
      <c r="P44" s="29">
        <f t="shared" si="6"/>
        <v>0.50733821654343769</v>
      </c>
      <c r="Q44" s="28">
        <f>PT!Q44</f>
        <v>183.5</v>
      </c>
      <c r="R44" s="29">
        <f t="shared" si="7"/>
        <v>1.1710259463612682</v>
      </c>
      <c r="S44" s="28">
        <f>PT!S44</f>
        <v>104</v>
      </c>
      <c r="T44" s="29">
        <f t="shared" si="8"/>
        <v>0.66368772981783042</v>
      </c>
      <c r="U44" s="28">
        <f>PT!U44</f>
        <v>79.5</v>
      </c>
      <c r="V44" s="29">
        <f t="shared" si="9"/>
        <v>0.51072785464749504</v>
      </c>
      <c r="W44" s="28">
        <f>PT!W44</f>
        <v>104</v>
      </c>
      <c r="X44" s="29">
        <f t="shared" si="10"/>
        <v>0.66368772981783042</v>
      </c>
      <c r="Y44" s="28"/>
      <c r="Z44" s="28"/>
      <c r="AA44" s="26">
        <f t="shared" si="11"/>
        <v>0</v>
      </c>
      <c r="AB44" s="26">
        <f>IFERROR(_xlfn.XLOOKUP($C:$C,'DT PPM'!$F:$F,'DT PPM'!$D:$D),0)</f>
        <v>0</v>
      </c>
      <c r="AC44" s="26">
        <f>IFERROR(VLOOKUP(C44,'DT PPM'!$C$3:$E$1048576,3,0),0)</f>
        <v>0</v>
      </c>
    </row>
    <row r="45" spans="2:29" x14ac:dyDescent="0.25">
      <c r="B45" s="28">
        <f>PT!B45</f>
        <v>0</v>
      </c>
      <c r="C45" s="28">
        <f>PT!C45</f>
        <v>0</v>
      </c>
      <c r="D45" s="28">
        <f>PT!D45</f>
        <v>0</v>
      </c>
      <c r="E45" s="28">
        <f>PT!E45</f>
        <v>0</v>
      </c>
      <c r="F45" s="28">
        <f>PT!F45</f>
        <v>0</v>
      </c>
      <c r="G45" s="28">
        <f>PT!G45</f>
        <v>0</v>
      </c>
      <c r="H45" s="28">
        <f>PT!H45</f>
        <v>0</v>
      </c>
      <c r="I45" s="28">
        <f>PT!I45</f>
        <v>0</v>
      </c>
      <c r="J45" s="28">
        <f>PT!J45</f>
        <v>0</v>
      </c>
      <c r="K45" s="28">
        <f>PT!K45</f>
        <v>0</v>
      </c>
      <c r="L45" s="28">
        <f>PT!L45</f>
        <v>0</v>
      </c>
      <c r="M45" s="28">
        <f>PT!M45</f>
        <v>0</v>
      </c>
      <c r="N45" s="29">
        <f t="shared" si="5"/>
        <v>0</v>
      </c>
      <c r="O45" s="28">
        <f>PT!O45</f>
        <v>0</v>
      </c>
      <c r="P45" s="29">
        <f t="shared" si="6"/>
        <v>0</v>
      </c>
      <c r="Q45" s="28">
        <f>PT!Q45</f>
        <v>0</v>
      </c>
      <c r="R45" s="29">
        <f t="shared" si="7"/>
        <v>0</v>
      </c>
      <c r="S45" s="28">
        <f>PT!S45</f>
        <v>0</v>
      </c>
      <c r="T45" s="29">
        <f t="shared" si="8"/>
        <v>0</v>
      </c>
      <c r="U45" s="28">
        <f>PT!U45</f>
        <v>0</v>
      </c>
      <c r="V45" s="29">
        <f t="shared" si="9"/>
        <v>0</v>
      </c>
      <c r="W45" s="28">
        <f>PT!W45</f>
        <v>0</v>
      </c>
      <c r="X45" s="29">
        <f t="shared" si="10"/>
        <v>0</v>
      </c>
      <c r="Y45" s="28"/>
      <c r="Z45" s="28"/>
      <c r="AA45" s="26">
        <f t="shared" si="11"/>
        <v>0</v>
      </c>
      <c r="AB45" s="26">
        <f>IFERROR(_xlfn.XLOOKUP($C:$C,'DT PPM'!$F:$F,'DT PPM'!$D:$D),0)</f>
        <v>0</v>
      </c>
      <c r="AC45" s="26">
        <f>IFERROR(VLOOKUP(C45,'DT PPM'!$C$3:$E$1048576,3,0),0)</f>
        <v>0</v>
      </c>
    </row>
    <row r="46" spans="2:29" x14ac:dyDescent="0.25">
      <c r="B46" s="28">
        <f>PT!B46</f>
        <v>0</v>
      </c>
      <c r="C46" s="28">
        <f>PT!C46</f>
        <v>0</v>
      </c>
      <c r="D46" s="28">
        <f>PT!D46</f>
        <v>0</v>
      </c>
      <c r="E46" s="28">
        <f>PT!E46</f>
        <v>0</v>
      </c>
      <c r="F46" s="28">
        <f>PT!F46</f>
        <v>0</v>
      </c>
      <c r="G46" s="28">
        <f>PT!G46</f>
        <v>0</v>
      </c>
      <c r="H46" s="28">
        <f>PT!H46</f>
        <v>0</v>
      </c>
      <c r="I46" s="28">
        <f>PT!I46</f>
        <v>0</v>
      </c>
      <c r="J46" s="28">
        <f>PT!J46</f>
        <v>0</v>
      </c>
      <c r="K46" s="28">
        <f>PT!K46</f>
        <v>0</v>
      </c>
      <c r="L46" s="28">
        <f>PT!L46</f>
        <v>0</v>
      </c>
      <c r="M46" s="28">
        <f>PT!M46</f>
        <v>0</v>
      </c>
      <c r="N46" s="29">
        <f t="shared" si="5"/>
        <v>0</v>
      </c>
      <c r="O46" s="28">
        <f>PT!O46</f>
        <v>0</v>
      </c>
      <c r="P46" s="29">
        <f t="shared" si="6"/>
        <v>0</v>
      </c>
      <c r="Q46" s="28">
        <f>PT!Q46</f>
        <v>0</v>
      </c>
      <c r="R46" s="29">
        <f t="shared" si="7"/>
        <v>0</v>
      </c>
      <c r="S46" s="28">
        <f>PT!S46</f>
        <v>0</v>
      </c>
      <c r="T46" s="29">
        <f t="shared" si="8"/>
        <v>0</v>
      </c>
      <c r="U46" s="28">
        <f>PT!U46</f>
        <v>0</v>
      </c>
      <c r="V46" s="29">
        <f t="shared" si="9"/>
        <v>0</v>
      </c>
      <c r="W46" s="28">
        <f>PT!W46</f>
        <v>0</v>
      </c>
      <c r="X46" s="29">
        <f t="shared" si="10"/>
        <v>0</v>
      </c>
      <c r="Y46" s="28"/>
      <c r="Z46" s="28"/>
      <c r="AA46" s="26">
        <f t="shared" si="11"/>
        <v>0</v>
      </c>
      <c r="AB46" s="26">
        <f>IFERROR(_xlfn.XLOOKUP($C:$C,'DT PPM'!$F:$F,'DT PPM'!$D:$D),0)</f>
        <v>0</v>
      </c>
      <c r="AC46" s="26">
        <f>IFERROR(VLOOKUP(C46,'DT PPM'!$C$3:$E$1048576,3,0),0)</f>
        <v>0</v>
      </c>
    </row>
    <row r="47" spans="2:29" x14ac:dyDescent="0.25">
      <c r="B47" s="46" t="str">
        <f>PT!B47</f>
        <v>PANQUELERIA</v>
      </c>
      <c r="C47" s="46" t="str">
        <f>PT!C47</f>
        <v>Total</v>
      </c>
      <c r="D47" s="46">
        <f>PT!D47</f>
        <v>0</v>
      </c>
      <c r="E47" s="46">
        <f>PT!E47</f>
        <v>0</v>
      </c>
      <c r="F47" s="46">
        <f>PT!F47</f>
        <v>0</v>
      </c>
      <c r="G47" s="46">
        <f>PT!G47</f>
        <v>0</v>
      </c>
      <c r="H47" s="46">
        <f>PT!H47</f>
        <v>100296.69</v>
      </c>
      <c r="I47" s="46">
        <f>PT!I47</f>
        <v>100404</v>
      </c>
      <c r="J47" s="46">
        <f>PT!J47</f>
        <v>100404</v>
      </c>
      <c r="K47" s="46">
        <f>PT!K47</f>
        <v>0</v>
      </c>
      <c r="L47" s="46">
        <f>PT!L47</f>
        <v>17.079239999999999</v>
      </c>
      <c r="M47" s="46">
        <f>PT!M47</f>
        <v>174</v>
      </c>
      <c r="N47" s="45">
        <f t="shared" si="5"/>
        <v>1.0034752539542118</v>
      </c>
      <c r="O47" s="46">
        <f>PT!O47</f>
        <v>86.5</v>
      </c>
      <c r="P47" s="45">
        <f t="shared" si="6"/>
        <v>0.49885407739677767</v>
      </c>
      <c r="Q47" s="46">
        <f>PT!Q47</f>
        <v>260.5</v>
      </c>
      <c r="R47" s="45">
        <f t="shared" si="7"/>
        <v>1.5023293313509893</v>
      </c>
      <c r="S47" s="46">
        <f>PT!S47</f>
        <v>174</v>
      </c>
      <c r="T47" s="45">
        <f t="shared" si="8"/>
        <v>1.0034752539542118</v>
      </c>
      <c r="U47" s="46">
        <f>PT!U47</f>
        <v>86.5</v>
      </c>
      <c r="V47" s="45">
        <f t="shared" si="9"/>
        <v>0.50391069653857057</v>
      </c>
      <c r="W47" s="46">
        <f>PT!W47</f>
        <v>174</v>
      </c>
      <c r="X47" s="45">
        <f t="shared" si="10"/>
        <v>1.0034752539542118</v>
      </c>
      <c r="Y47" s="46"/>
      <c r="Z47" s="46"/>
      <c r="AA47" s="47">
        <f t="shared" si="11"/>
        <v>0</v>
      </c>
      <c r="AB47" s="47">
        <f>IFERROR(_xlfn.XLOOKUP($C:$C,'DT PPM'!$F:$F,'DT PPM'!$D:$D),0)</f>
        <v>0</v>
      </c>
      <c r="AC47" s="47">
        <f>IFERROR(VLOOKUP(C47,'DT PPM'!$C$3:$E$1048576,3,0),0)</f>
        <v>0</v>
      </c>
    </row>
    <row r="48" spans="2:29" x14ac:dyDescent="0.25">
      <c r="B48" s="28" t="str">
        <f>PT!B48</f>
        <v>TORTILLAS</v>
      </c>
      <c r="C48" s="28">
        <f>PT!C48</f>
        <v>1649</v>
      </c>
      <c r="D48" s="28" t="str">
        <f>PT!D48</f>
        <v>Tortillas Trigo 1p 250g Bolsa TR</v>
      </c>
      <c r="E48" s="28">
        <f>PT!E48</f>
        <v>0</v>
      </c>
      <c r="F48" s="28" t="str">
        <f>PT!F48</f>
        <v>SU105828</v>
      </c>
      <c r="G48" s="28" t="str">
        <f>PT!G48</f>
        <v>MASA TORTILLAS TRIGO TR BARRANQUILLA</v>
      </c>
      <c r="H48" s="28" t="str">
        <f>PT!H48</f>
        <v>71523.00*</v>
      </c>
      <c r="I48" s="28">
        <f>PT!I48</f>
        <v>73920</v>
      </c>
      <c r="J48" s="28">
        <f>PT!J48</f>
        <v>7392</v>
      </c>
      <c r="K48" s="28">
        <f>PT!K48</f>
        <v>0.26100000000000001</v>
      </c>
      <c r="L48" s="28">
        <f>PT!L48</f>
        <v>1.9293100000000001</v>
      </c>
      <c r="M48" s="28">
        <f>PT!M48</f>
        <v>2.5</v>
      </c>
      <c r="N48" s="29">
        <f t="shared" si="5"/>
        <v>0.1294123128050895</v>
      </c>
      <c r="O48" s="28">
        <f>PT!O48</f>
        <v>0</v>
      </c>
      <c r="P48" s="29">
        <f t="shared" si="6"/>
        <v>0</v>
      </c>
      <c r="Q48" s="28">
        <f>PT!Q48</f>
        <v>2.5</v>
      </c>
      <c r="R48" s="29">
        <f t="shared" si="7"/>
        <v>0.1294123128050895</v>
      </c>
      <c r="S48" s="28">
        <f>PT!S48</f>
        <v>1</v>
      </c>
      <c r="T48" s="29">
        <f t="shared" si="8"/>
        <v>5.1764925122035801E-2</v>
      </c>
      <c r="U48" s="28">
        <f>PT!U48</f>
        <v>1.5</v>
      </c>
      <c r="V48" s="29">
        <f t="shared" si="9"/>
        <v>7.7687602612375103E-2</v>
      </c>
      <c r="W48" s="28">
        <f>PT!W48</f>
        <v>1</v>
      </c>
      <c r="X48" s="29">
        <f t="shared" si="10"/>
        <v>5.1764925122035801E-2</v>
      </c>
      <c r="Y48" s="28"/>
      <c r="Z48" s="28"/>
      <c r="AA48" s="26">
        <f t="shared" si="11"/>
        <v>0</v>
      </c>
      <c r="AB48" s="26">
        <f>IFERROR(_xlfn.XLOOKUP($C:$C,'DT PPM'!$F:$F,'DT PPM'!$D:$D),0)</f>
        <v>0</v>
      </c>
      <c r="AC48" s="26">
        <f>IFERROR(VLOOKUP(C48,'DT PPM'!$C$3:$E$1048576,3,0),0)</f>
        <v>0</v>
      </c>
    </row>
    <row r="49" spans="2:29" x14ac:dyDescent="0.25">
      <c r="B49" s="28" t="str">
        <f>PT!B49</f>
        <v>TORTILLAS</v>
      </c>
      <c r="C49" s="28">
        <f>PT!C49</f>
        <v>26504</v>
      </c>
      <c r="D49" s="28" t="str">
        <f>PT!D49</f>
        <v>Tortillas Blancas 1p 450g Bolsa BIM</v>
      </c>
      <c r="E49" s="28" t="str">
        <f>PT!E49</f>
        <v>EACH</v>
      </c>
      <c r="F49" s="28" t="str">
        <f>PT!F49</f>
        <v>S35</v>
      </c>
      <c r="G49" s="28" t="str">
        <f>PT!G49</f>
        <v>MASA TORTILLA BIM</v>
      </c>
      <c r="H49" s="28" t="str">
        <f>PT!H49</f>
        <v>58635.90*</v>
      </c>
      <c r="I49" s="28">
        <f>PT!I49</f>
        <v>53970</v>
      </c>
      <c r="J49" s="28">
        <f>PT!J49</f>
        <v>3598</v>
      </c>
      <c r="K49" s="28">
        <f>PT!K49</f>
        <v>0.4672</v>
      </c>
      <c r="L49" s="28">
        <f>PT!L49</f>
        <v>1.68116</v>
      </c>
      <c r="M49" s="28">
        <f>PT!M49</f>
        <v>4.5</v>
      </c>
      <c r="N49" s="29">
        <f t="shared" si="5"/>
        <v>0.26695774948684792</v>
      </c>
      <c r="O49" s="28">
        <f>PT!O49</f>
        <v>0</v>
      </c>
      <c r="P49" s="29">
        <f t="shared" si="6"/>
        <v>0</v>
      </c>
      <c r="Q49" s="28">
        <f>PT!Q49</f>
        <v>4.5</v>
      </c>
      <c r="R49" s="29">
        <f t="shared" si="7"/>
        <v>0.26695774948684792</v>
      </c>
      <c r="S49" s="28">
        <f>PT!S49</f>
        <v>1.5</v>
      </c>
      <c r="T49" s="29">
        <f t="shared" si="8"/>
        <v>8.8985916495615949E-2</v>
      </c>
      <c r="U49" s="28">
        <f>PT!U49</f>
        <v>3</v>
      </c>
      <c r="V49" s="29">
        <f t="shared" si="9"/>
        <v>0.17813034391031729</v>
      </c>
      <c r="W49" s="28">
        <f>PT!W49</f>
        <v>1.5</v>
      </c>
      <c r="X49" s="29">
        <f t="shared" si="10"/>
        <v>8.8985916495615949E-2</v>
      </c>
      <c r="Y49" s="28"/>
      <c r="Z49" s="28"/>
      <c r="AA49" s="26">
        <f t="shared" si="11"/>
        <v>0</v>
      </c>
      <c r="AB49" s="26">
        <f>IFERROR(_xlfn.XLOOKUP($C:$C,'DT PPM'!$F:$F,'DT PPM'!$D:$D),0)</f>
        <v>0</v>
      </c>
      <c r="AC49" s="26">
        <f>IFERROR(VLOOKUP(C49,'DT PPM'!$C$3:$E$1048576,3,0),0)</f>
        <v>0</v>
      </c>
    </row>
    <row r="50" spans="2:29" x14ac:dyDescent="0.25">
      <c r="B50" s="28" t="str">
        <f>PT!B50</f>
        <v>TORTILLAS</v>
      </c>
      <c r="C50" s="28">
        <f>PT!C50</f>
        <v>29074</v>
      </c>
      <c r="D50" s="28" t="str">
        <f>PT!D50</f>
        <v>Tortillas Blancas 1p 240g Bolsa BIM</v>
      </c>
      <c r="E50" s="28" t="str">
        <f>PT!E50</f>
        <v>EACH</v>
      </c>
      <c r="F50" s="28" t="str">
        <f>PT!F50</f>
        <v>S962429</v>
      </c>
      <c r="G50" s="28" t="str">
        <f>PT!G50</f>
        <v>MASA TORTILLA TRIGO X 8 BIM</v>
      </c>
      <c r="H50" s="28" t="str">
        <f>PT!H50</f>
        <v>121614.08*</v>
      </c>
      <c r="I50" s="28">
        <f>PT!I50</f>
        <v>117696</v>
      </c>
      <c r="J50" s="28">
        <f>PT!J50</f>
        <v>14712</v>
      </c>
      <c r="K50" s="28">
        <f>PT!K50</f>
        <v>0.2492</v>
      </c>
      <c r="L50" s="28">
        <f>PT!L50</f>
        <v>3.6662300000000001</v>
      </c>
      <c r="M50" s="28">
        <f>PT!M50</f>
        <v>7</v>
      </c>
      <c r="N50" s="29">
        <f t="shared" si="5"/>
        <v>0.19056797423520988</v>
      </c>
      <c r="O50" s="28">
        <f>PT!O50</f>
        <v>0</v>
      </c>
      <c r="P50" s="29">
        <f t="shared" si="6"/>
        <v>0</v>
      </c>
      <c r="Q50" s="28">
        <f>PT!Q50</f>
        <v>7</v>
      </c>
      <c r="R50" s="29">
        <f t="shared" si="7"/>
        <v>0.19056797423520988</v>
      </c>
      <c r="S50" s="28">
        <f>PT!S50</f>
        <v>2.5</v>
      </c>
      <c r="T50" s="29">
        <f t="shared" si="8"/>
        <v>6.8059990798289255E-2</v>
      </c>
      <c r="U50" s="28">
        <f>PT!U50</f>
        <v>4.5</v>
      </c>
      <c r="V50" s="29">
        <f t="shared" si="9"/>
        <v>0.12259141914551057</v>
      </c>
      <c r="W50" s="28">
        <f>PT!W50</f>
        <v>2.5</v>
      </c>
      <c r="X50" s="29">
        <f t="shared" si="10"/>
        <v>6.8059990798289255E-2</v>
      </c>
      <c r="Y50" s="28"/>
      <c r="Z50" s="28"/>
      <c r="AA50" s="26">
        <f t="shared" si="11"/>
        <v>0</v>
      </c>
      <c r="AB50" s="26">
        <f>IFERROR(_xlfn.XLOOKUP($C:$C,'DT PPM'!$F:$F,'DT PPM'!$D:$D),0)</f>
        <v>0</v>
      </c>
      <c r="AC50" s="26">
        <f>IFERROR(VLOOKUP(C50,'DT PPM'!$C$3:$E$1048576,3,0),0)</f>
        <v>0</v>
      </c>
    </row>
    <row r="51" spans="2:29" x14ac:dyDescent="0.25">
      <c r="B51" s="28" t="str">
        <f>PT!B51</f>
        <v>TORTILLAS</v>
      </c>
      <c r="C51" s="28">
        <f>PT!C51</f>
        <v>49271</v>
      </c>
      <c r="D51" s="28" t="str">
        <f>PT!D51</f>
        <v>Tortillas Crachos Bla 18p 6480g CJA NP</v>
      </c>
      <c r="E51" s="28">
        <f>PT!E51</f>
        <v>0</v>
      </c>
      <c r="F51" s="28" t="str">
        <f>PT!F51</f>
        <v>S2622</v>
      </c>
      <c r="G51" s="28" t="str">
        <f>PT!G51</f>
        <v>MASA TORTILLA TRIGO 17CM</v>
      </c>
      <c r="H51" s="28" t="str">
        <f>PT!H51</f>
        <v>149785.20*</v>
      </c>
      <c r="I51" s="28">
        <f>PT!I51</f>
        <v>152064</v>
      </c>
      <c r="J51" s="28">
        <f>PT!J51</f>
        <v>704</v>
      </c>
      <c r="K51" s="28">
        <f>PT!K51</f>
        <v>6.6833999999999998</v>
      </c>
      <c r="L51" s="28">
        <f>PT!L51</f>
        <v>4.7051100000000003</v>
      </c>
      <c r="M51" s="28">
        <f>PT!M51</f>
        <v>17</v>
      </c>
      <c r="N51" s="29">
        <f t="shared" si="5"/>
        <v>0.36000855549743649</v>
      </c>
      <c r="O51" s="28">
        <f>PT!O51</f>
        <v>0</v>
      </c>
      <c r="P51" s="29">
        <f t="shared" si="6"/>
        <v>0</v>
      </c>
      <c r="Q51" s="28">
        <f>PT!Q51</f>
        <v>17</v>
      </c>
      <c r="R51" s="29">
        <f t="shared" si="7"/>
        <v>0.36000855549743649</v>
      </c>
      <c r="S51" s="28">
        <f>PT!S51</f>
        <v>6</v>
      </c>
      <c r="T51" s="29">
        <f t="shared" si="8"/>
        <v>0.12706184311674229</v>
      </c>
      <c r="U51" s="28">
        <f>PT!U51</f>
        <v>11</v>
      </c>
      <c r="V51" s="29">
        <f t="shared" si="9"/>
        <v>0.23324307533115213</v>
      </c>
      <c r="W51" s="28">
        <f>PT!W51</f>
        <v>6</v>
      </c>
      <c r="X51" s="29">
        <f t="shared" si="10"/>
        <v>0.12706184311674229</v>
      </c>
      <c r="Y51" s="28"/>
      <c r="Z51" s="28"/>
      <c r="AA51" s="26">
        <f t="shared" si="11"/>
        <v>0</v>
      </c>
      <c r="AB51" s="26">
        <f>IFERROR(_xlfn.XLOOKUP($C:$C,'DT PPM'!$F:$F,'DT PPM'!$D:$D),0)</f>
        <v>0</v>
      </c>
      <c r="AC51" s="26">
        <f>IFERROR(VLOOKUP(C51,'DT PPM'!$C$3:$E$1048576,3,0),0)</f>
        <v>0</v>
      </c>
    </row>
    <row r="52" spans="2:29" x14ac:dyDescent="0.25">
      <c r="B52" s="28" t="str">
        <f>PT!B52</f>
        <v>TORTILLAS</v>
      </c>
      <c r="C52" s="28">
        <f>PT!C52</f>
        <v>500498</v>
      </c>
      <c r="D52" s="28" t="str">
        <f>PT!D52</f>
        <v>Tortillas Blancas 1p 660g Bolsa BIM</v>
      </c>
      <c r="E52" s="28" t="str">
        <f>PT!E52</f>
        <v>EACH</v>
      </c>
      <c r="F52" s="28" t="str">
        <f>PT!F52</f>
        <v>S35</v>
      </c>
      <c r="G52" s="28" t="str">
        <f>PT!G52</f>
        <v>MASA TORTILLA BIM</v>
      </c>
      <c r="H52" s="28">
        <f>PT!H52</f>
        <v>58635.9</v>
      </c>
      <c r="I52" s="28">
        <f>PT!I52</f>
        <v>6336</v>
      </c>
      <c r="J52" s="28">
        <f>PT!J52</f>
        <v>288</v>
      </c>
      <c r="K52" s="28">
        <f>PT!K52</f>
        <v>0.68530000000000002</v>
      </c>
      <c r="L52" s="28">
        <f>PT!L52</f>
        <v>0.19736000000000001</v>
      </c>
      <c r="M52" s="28">
        <f>PT!M52</f>
        <v>0</v>
      </c>
      <c r="N52" s="29">
        <f t="shared" si="5"/>
        <v>0</v>
      </c>
      <c r="O52" s="28">
        <f>PT!O52</f>
        <v>0</v>
      </c>
      <c r="P52" s="29">
        <f t="shared" si="6"/>
        <v>0</v>
      </c>
      <c r="Q52" s="28">
        <f>PT!Q52</f>
        <v>0</v>
      </c>
      <c r="R52" s="29">
        <f t="shared" si="7"/>
        <v>0</v>
      </c>
      <c r="S52" s="28">
        <f>PT!S52</f>
        <v>0</v>
      </c>
      <c r="T52" s="29">
        <f t="shared" si="8"/>
        <v>0</v>
      </c>
      <c r="U52" s="28">
        <f>PT!U52</f>
        <v>0</v>
      </c>
      <c r="V52" s="29">
        <f t="shared" si="9"/>
        <v>0</v>
      </c>
      <c r="W52" s="28">
        <f>PT!W52</f>
        <v>0</v>
      </c>
      <c r="X52" s="29">
        <f t="shared" si="10"/>
        <v>0</v>
      </c>
      <c r="Y52" s="28"/>
      <c r="Z52" s="28"/>
      <c r="AA52" s="26">
        <f t="shared" si="11"/>
        <v>0</v>
      </c>
      <c r="AB52" s="26">
        <f>IFERROR(_xlfn.XLOOKUP($C:$C,'DT PPM'!$F:$F,'DT PPM'!$D:$D),0)</f>
        <v>0</v>
      </c>
      <c r="AC52" s="26">
        <f>IFERROR(VLOOKUP(C52,'DT PPM'!$C$3:$E$1048576,3,0),0)</f>
        <v>0</v>
      </c>
    </row>
    <row r="53" spans="2:29" x14ac:dyDescent="0.25">
      <c r="B53" s="28" t="str">
        <f>PT!B53</f>
        <v>TORTILLAS</v>
      </c>
      <c r="C53" s="28">
        <f>PT!C53</f>
        <v>5490</v>
      </c>
      <c r="D53" s="28" t="str">
        <f>PT!D53</f>
        <v>Tortillas Integrales 1p 250g Bolsa BIM</v>
      </c>
      <c r="E53" s="28" t="str">
        <f>PT!E53</f>
        <v>EACH</v>
      </c>
      <c r="F53" s="28" t="str">
        <f>PT!F53</f>
        <v>S37</v>
      </c>
      <c r="G53" s="28" t="str">
        <f>PT!G53</f>
        <v>MASA TORTILLA INTEGRAL BIM</v>
      </c>
      <c r="H53" s="28" t="str">
        <f>PT!H53</f>
        <v>19316.80*</v>
      </c>
      <c r="I53" s="28">
        <f>PT!I53</f>
        <v>20160</v>
      </c>
      <c r="J53" s="28">
        <f>PT!J53</f>
        <v>2520</v>
      </c>
      <c r="K53" s="28">
        <f>PT!K53</f>
        <v>0.26340000000000002</v>
      </c>
      <c r="L53" s="28">
        <f>PT!L53</f>
        <v>0.66386000000000001</v>
      </c>
      <c r="M53" s="28">
        <f>PT!M53</f>
        <v>4.5</v>
      </c>
      <c r="N53" s="29">
        <f t="shared" si="5"/>
        <v>0.67328984379675627</v>
      </c>
      <c r="O53" s="28">
        <f>PT!O53</f>
        <v>0</v>
      </c>
      <c r="P53" s="29">
        <f t="shared" si="6"/>
        <v>0</v>
      </c>
      <c r="Q53" s="28">
        <f>PT!Q53</f>
        <v>4.5</v>
      </c>
      <c r="R53" s="29">
        <f t="shared" si="7"/>
        <v>0.67328984379675627</v>
      </c>
      <c r="S53" s="28">
        <f>PT!S53</f>
        <v>1.5</v>
      </c>
      <c r="T53" s="29">
        <f t="shared" si="8"/>
        <v>0.22442994793225207</v>
      </c>
      <c r="U53" s="28">
        <f>PT!U53</f>
        <v>3</v>
      </c>
      <c r="V53" s="29">
        <f t="shared" si="9"/>
        <v>0.44986953783402817</v>
      </c>
      <c r="W53" s="28">
        <f>PT!W53</f>
        <v>1.5</v>
      </c>
      <c r="X53" s="29">
        <f t="shared" si="10"/>
        <v>0.22442994793225207</v>
      </c>
      <c r="Y53" s="28"/>
      <c r="Z53" s="28"/>
      <c r="AA53" s="26">
        <f t="shared" si="11"/>
        <v>0</v>
      </c>
      <c r="AB53" s="26">
        <f>IFERROR(_xlfn.XLOOKUP($C:$C,'DT PPM'!$F:$F,'DT PPM'!$D:$D),0)</f>
        <v>0</v>
      </c>
      <c r="AC53" s="26">
        <f>IFERROR(VLOOKUP(C53,'DT PPM'!$C$3:$E$1048576,3,0),0)</f>
        <v>0</v>
      </c>
    </row>
    <row r="54" spans="2:29" x14ac:dyDescent="0.25">
      <c r="B54" s="28">
        <f>PT!B54</f>
        <v>0</v>
      </c>
      <c r="C54" s="28">
        <f>PT!C54</f>
        <v>0</v>
      </c>
      <c r="D54" s="28">
        <f>PT!D54</f>
        <v>0</v>
      </c>
      <c r="E54" s="28">
        <f>PT!E54</f>
        <v>0</v>
      </c>
      <c r="F54" s="28">
        <f>PT!F54</f>
        <v>0</v>
      </c>
      <c r="G54" s="28">
        <f>PT!G54</f>
        <v>0</v>
      </c>
      <c r="H54" s="28">
        <f>PT!H54</f>
        <v>0</v>
      </c>
      <c r="I54" s="28">
        <f>PT!I54</f>
        <v>0</v>
      </c>
      <c r="J54" s="28">
        <f>PT!J54</f>
        <v>0</v>
      </c>
      <c r="K54" s="28">
        <f>PT!K54</f>
        <v>0</v>
      </c>
      <c r="L54" s="28">
        <f>PT!L54</f>
        <v>0</v>
      </c>
      <c r="M54" s="28">
        <f>PT!M54</f>
        <v>0</v>
      </c>
      <c r="N54" s="29">
        <f t="shared" si="5"/>
        <v>0</v>
      </c>
      <c r="O54" s="28">
        <f>PT!O54</f>
        <v>0</v>
      </c>
      <c r="P54" s="29">
        <f t="shared" si="6"/>
        <v>0</v>
      </c>
      <c r="Q54" s="28">
        <f>PT!Q54</f>
        <v>0</v>
      </c>
      <c r="R54" s="29">
        <f t="shared" si="7"/>
        <v>0</v>
      </c>
      <c r="S54" s="28">
        <f>PT!S54</f>
        <v>0</v>
      </c>
      <c r="T54" s="29">
        <f t="shared" si="8"/>
        <v>0</v>
      </c>
      <c r="U54" s="28">
        <f>PT!U54</f>
        <v>0</v>
      </c>
      <c r="V54" s="29">
        <f t="shared" si="9"/>
        <v>0</v>
      </c>
      <c r="W54" s="28">
        <f>PT!W54</f>
        <v>0</v>
      </c>
      <c r="X54" s="29">
        <f t="shared" si="10"/>
        <v>0</v>
      </c>
      <c r="Y54" s="28"/>
      <c r="Z54" s="28"/>
      <c r="AA54" s="26">
        <f t="shared" si="11"/>
        <v>0</v>
      </c>
      <c r="AB54" s="26">
        <f>IFERROR(_xlfn.XLOOKUP($C:$C,'DT PPM'!$F:$F,'DT PPM'!$D:$D),0)</f>
        <v>0</v>
      </c>
      <c r="AC54" s="26">
        <f>IFERROR(VLOOKUP(C54,'DT PPM'!$C$3:$E$1048576,3,0),0)</f>
        <v>0</v>
      </c>
    </row>
    <row r="55" spans="2:29" x14ac:dyDescent="0.25">
      <c r="B55" s="28">
        <f>PT!B55</f>
        <v>0</v>
      </c>
      <c r="C55" s="28">
        <f>PT!C55</f>
        <v>0</v>
      </c>
      <c r="D55" s="28">
        <f>PT!D55</f>
        <v>0</v>
      </c>
      <c r="E55" s="28">
        <f>PT!E55</f>
        <v>0</v>
      </c>
      <c r="F55" s="28">
        <f>PT!F55</f>
        <v>0</v>
      </c>
      <c r="G55" s="28">
        <f>PT!G55</f>
        <v>0</v>
      </c>
      <c r="H55" s="28">
        <f>PT!H55</f>
        <v>0</v>
      </c>
      <c r="I55" s="28">
        <f>PT!I55</f>
        <v>0</v>
      </c>
      <c r="J55" s="28">
        <f>PT!J55</f>
        <v>0</v>
      </c>
      <c r="K55" s="28">
        <f>PT!K55</f>
        <v>0</v>
      </c>
      <c r="L55" s="28">
        <f>PT!L55</f>
        <v>0</v>
      </c>
      <c r="M55" s="28">
        <f>PT!M55</f>
        <v>0</v>
      </c>
      <c r="N55" s="29">
        <f t="shared" si="5"/>
        <v>0</v>
      </c>
      <c r="O55" s="28">
        <f>PT!O55</f>
        <v>0</v>
      </c>
      <c r="P55" s="29">
        <f t="shared" si="6"/>
        <v>0</v>
      </c>
      <c r="Q55" s="28">
        <f>PT!Q55</f>
        <v>0</v>
      </c>
      <c r="R55" s="29">
        <f t="shared" si="7"/>
        <v>0</v>
      </c>
      <c r="S55" s="28">
        <f>PT!S55</f>
        <v>0</v>
      </c>
      <c r="T55" s="29">
        <f t="shared" si="8"/>
        <v>0</v>
      </c>
      <c r="U55" s="28">
        <f>PT!U55</f>
        <v>0</v>
      </c>
      <c r="V55" s="29">
        <f t="shared" si="9"/>
        <v>0</v>
      </c>
      <c r="W55" s="28">
        <f>PT!W55</f>
        <v>0</v>
      </c>
      <c r="X55" s="29">
        <f t="shared" si="10"/>
        <v>0</v>
      </c>
      <c r="Y55" s="28"/>
      <c r="Z55" s="28"/>
      <c r="AA55" s="26">
        <f t="shared" si="11"/>
        <v>0</v>
      </c>
      <c r="AB55" s="26">
        <f>IFERROR(_xlfn.XLOOKUP($C:$C,'DT PPM'!$F:$F,'DT PPM'!$D:$D),0)</f>
        <v>0</v>
      </c>
      <c r="AC55" s="26">
        <f>IFERROR(VLOOKUP(C55,'DT PPM'!$C$3:$E$1048576,3,0),0)</f>
        <v>0</v>
      </c>
    </row>
    <row r="56" spans="2:29" x14ac:dyDescent="0.25">
      <c r="B56" s="28">
        <f>PT!B56</f>
        <v>0</v>
      </c>
      <c r="C56" s="28">
        <f>PT!C56</f>
        <v>0</v>
      </c>
      <c r="D56" s="28">
        <f>PT!D56</f>
        <v>0</v>
      </c>
      <c r="E56" s="28">
        <f>PT!E56</f>
        <v>0</v>
      </c>
      <c r="F56" s="28">
        <f>PT!F56</f>
        <v>0</v>
      </c>
      <c r="G56" s="28">
        <f>PT!G56</f>
        <v>0</v>
      </c>
      <c r="H56" s="28">
        <f>PT!H56</f>
        <v>0</v>
      </c>
      <c r="I56" s="28">
        <f>PT!I56</f>
        <v>0</v>
      </c>
      <c r="J56" s="28">
        <f>PT!J56</f>
        <v>0</v>
      </c>
      <c r="K56" s="28">
        <f>PT!K56</f>
        <v>0</v>
      </c>
      <c r="L56" s="28">
        <f>PT!L56</f>
        <v>0</v>
      </c>
      <c r="M56" s="28">
        <f>PT!M56</f>
        <v>0</v>
      </c>
      <c r="N56" s="29">
        <f t="shared" si="5"/>
        <v>0</v>
      </c>
      <c r="O56" s="28">
        <f>PT!O56</f>
        <v>0</v>
      </c>
      <c r="P56" s="29">
        <f t="shared" si="6"/>
        <v>0</v>
      </c>
      <c r="Q56" s="28">
        <f>PT!Q56</f>
        <v>0</v>
      </c>
      <c r="R56" s="29">
        <f t="shared" si="7"/>
        <v>0</v>
      </c>
      <c r="S56" s="28">
        <f>PT!S56</f>
        <v>0</v>
      </c>
      <c r="T56" s="29">
        <f t="shared" si="8"/>
        <v>0</v>
      </c>
      <c r="U56" s="28">
        <f>PT!U56</f>
        <v>0</v>
      </c>
      <c r="V56" s="29">
        <f t="shared" si="9"/>
        <v>0</v>
      </c>
      <c r="W56" s="28">
        <f>PT!W56</f>
        <v>0</v>
      </c>
      <c r="X56" s="29">
        <f t="shared" si="10"/>
        <v>0</v>
      </c>
      <c r="Y56" s="28"/>
      <c r="Z56" s="28"/>
      <c r="AA56" s="26">
        <f t="shared" si="11"/>
        <v>0</v>
      </c>
      <c r="AB56" s="26">
        <f>IFERROR(_xlfn.XLOOKUP($C:$C,'DT PPM'!$F:$F,'DT PPM'!$D:$D),0)</f>
        <v>0</v>
      </c>
      <c r="AC56" s="26">
        <f>IFERROR(VLOOKUP(C56,'DT PPM'!$C$3:$E$1048576,3,0),0)</f>
        <v>0</v>
      </c>
    </row>
    <row r="57" spans="2:29" x14ac:dyDescent="0.25">
      <c r="B57" s="28">
        <f>PT!B57</f>
        <v>0</v>
      </c>
      <c r="C57" s="28">
        <f>PT!C57</f>
        <v>0</v>
      </c>
      <c r="D57" s="28">
        <f>PT!D57</f>
        <v>0</v>
      </c>
      <c r="E57" s="28">
        <f>PT!E57</f>
        <v>0</v>
      </c>
      <c r="F57" s="28">
        <f>PT!F57</f>
        <v>0</v>
      </c>
      <c r="G57" s="28">
        <f>PT!G57</f>
        <v>0</v>
      </c>
      <c r="H57" s="28">
        <f>PT!H57</f>
        <v>0</v>
      </c>
      <c r="I57" s="28">
        <f>PT!I57</f>
        <v>0</v>
      </c>
      <c r="J57" s="28">
        <f>PT!J57</f>
        <v>0</v>
      </c>
      <c r="K57" s="28">
        <f>PT!K57</f>
        <v>0</v>
      </c>
      <c r="L57" s="28">
        <f>PT!L57</f>
        <v>0</v>
      </c>
      <c r="M57" s="28">
        <f>PT!M57</f>
        <v>0</v>
      </c>
      <c r="N57" s="29">
        <f t="shared" si="5"/>
        <v>0</v>
      </c>
      <c r="O57" s="28">
        <f>PT!O57</f>
        <v>0</v>
      </c>
      <c r="P57" s="29">
        <f t="shared" si="6"/>
        <v>0</v>
      </c>
      <c r="Q57" s="28">
        <f>PT!Q57</f>
        <v>0</v>
      </c>
      <c r="R57" s="29">
        <f t="shared" si="7"/>
        <v>0</v>
      </c>
      <c r="S57" s="28">
        <f>PT!S57</f>
        <v>0</v>
      </c>
      <c r="T57" s="29">
        <f t="shared" si="8"/>
        <v>0</v>
      </c>
      <c r="U57" s="28">
        <f>PT!U57</f>
        <v>0</v>
      </c>
      <c r="V57" s="29">
        <f t="shared" si="9"/>
        <v>0</v>
      </c>
      <c r="W57" s="28">
        <f>PT!W57</f>
        <v>0</v>
      </c>
      <c r="X57" s="29">
        <f t="shared" si="10"/>
        <v>0</v>
      </c>
      <c r="Y57" s="28"/>
      <c r="Z57" s="28"/>
      <c r="AA57" s="26">
        <f t="shared" si="11"/>
        <v>0</v>
      </c>
      <c r="AB57" s="26">
        <f>IFERROR(_xlfn.XLOOKUP($C:$C,'DT PPM'!$F:$F,'DT PPM'!$D:$D),0)</f>
        <v>0</v>
      </c>
      <c r="AC57" s="26">
        <f>IFERROR(VLOOKUP(C57,'DT PPM'!$C$3:$E$1048576,3,0),0)</f>
        <v>0</v>
      </c>
    </row>
    <row r="58" spans="2:29" x14ac:dyDescent="0.25">
      <c r="B58" s="46" t="str">
        <f>PT!B58</f>
        <v>TORTILLAS</v>
      </c>
      <c r="C58" s="46" t="str">
        <f>PT!C58</f>
        <v>Total</v>
      </c>
      <c r="D58" s="46">
        <f>PT!D58</f>
        <v>0</v>
      </c>
      <c r="E58" s="46">
        <f>PT!E58</f>
        <v>0</v>
      </c>
      <c r="F58" s="46">
        <f>PT!F58</f>
        <v>0</v>
      </c>
      <c r="G58" s="46">
        <f>PT!G58</f>
        <v>0</v>
      </c>
      <c r="H58" s="46">
        <f>PT!H58</f>
        <v>420874.98</v>
      </c>
      <c r="I58" s="46">
        <f>PT!I58</f>
        <v>424146</v>
      </c>
      <c r="J58" s="46">
        <f>PT!J58</f>
        <v>29214</v>
      </c>
      <c r="K58" s="46">
        <f>PT!K58</f>
        <v>0</v>
      </c>
      <c r="L58" s="46">
        <f>PT!L58</f>
        <v>12.843030000000001</v>
      </c>
      <c r="M58" s="46">
        <f>PT!M58</f>
        <v>35.5</v>
      </c>
      <c r="N58" s="45">
        <f t="shared" si="5"/>
        <v>0.27565257836103962</v>
      </c>
      <c r="O58" s="46">
        <f>PT!O58</f>
        <v>0</v>
      </c>
      <c r="P58" s="45">
        <f t="shared" si="6"/>
        <v>0</v>
      </c>
      <c r="Q58" s="46">
        <f>PT!Q58</f>
        <v>35.5</v>
      </c>
      <c r="R58" s="45">
        <f t="shared" si="7"/>
        <v>0.27565257836103962</v>
      </c>
      <c r="S58" s="46">
        <f>PT!S58</f>
        <v>12.5</v>
      </c>
      <c r="T58" s="45">
        <f t="shared" si="8"/>
        <v>9.7060767028535083E-2</v>
      </c>
      <c r="U58" s="46">
        <f>PT!U58</f>
        <v>23</v>
      </c>
      <c r="V58" s="45">
        <f t="shared" si="9"/>
        <v>0.17876532232553474</v>
      </c>
      <c r="W58" s="46">
        <f>PT!W58</f>
        <v>12.5</v>
      </c>
      <c r="X58" s="45">
        <f t="shared" si="10"/>
        <v>9.7060767028535083E-2</v>
      </c>
      <c r="Y58" s="46"/>
      <c r="Z58" s="46"/>
      <c r="AA58" s="47">
        <f t="shared" si="11"/>
        <v>0</v>
      </c>
      <c r="AB58" s="47">
        <f>IFERROR(_xlfn.XLOOKUP($C:$C,'DT PPM'!$F:$F,'DT PPM'!$D:$D),0)</f>
        <v>0</v>
      </c>
      <c r="AC58" s="47">
        <f>IFERROR(VLOOKUP(C58,'DT PPM'!$C$3:$E$1048576,3,0),0)</f>
        <v>0</v>
      </c>
    </row>
    <row r="59" spans="2:29" x14ac:dyDescent="0.25">
      <c r="B59" s="46" t="str">
        <f>PT!B59</f>
        <v>PLANTA</v>
      </c>
      <c r="C59" s="46" t="str">
        <f>PT!C59</f>
        <v>Total</v>
      </c>
      <c r="D59" s="46">
        <f>PT!D59</f>
        <v>0</v>
      </c>
      <c r="E59" s="46">
        <f>PT!E59</f>
        <v>0</v>
      </c>
      <c r="F59" s="46">
        <f>PT!F59</f>
        <v>0</v>
      </c>
      <c r="G59" s="46">
        <f>PT!G59</f>
        <v>0</v>
      </c>
      <c r="H59" s="46">
        <f>PT!H59</f>
        <v>827338.19</v>
      </c>
      <c r="I59" s="49">
        <f>PT!I59</f>
        <v>767156</v>
      </c>
      <c r="J59" s="46">
        <f>PT!J59</f>
        <v>193206</v>
      </c>
      <c r="K59" s="46">
        <f>PT!K59</f>
        <v>0</v>
      </c>
      <c r="L59" s="49">
        <f>PT!L59</f>
        <v>105.12921</v>
      </c>
      <c r="M59" s="46">
        <f>PT!M59</f>
        <v>863.28</v>
      </c>
      <c r="N59" s="45">
        <f t="shared" si="5"/>
        <v>0.80986160924064776</v>
      </c>
      <c r="O59" s="46">
        <f>PT!O59</f>
        <v>603.5</v>
      </c>
      <c r="P59" s="45">
        <f t="shared" si="6"/>
        <v>0.56615638168002369</v>
      </c>
      <c r="Q59" s="46">
        <f>PT!Q59</f>
        <v>1466.78</v>
      </c>
      <c r="R59" s="45">
        <f t="shared" si="7"/>
        <v>1.3760179909206713</v>
      </c>
      <c r="S59" s="46">
        <f>PT!S59</f>
        <v>708.5</v>
      </c>
      <c r="T59" s="45">
        <f t="shared" si="8"/>
        <v>0.66465914899800638</v>
      </c>
      <c r="U59" s="46">
        <f>PT!U59</f>
        <v>664.5</v>
      </c>
      <c r="V59" s="45">
        <f t="shared" si="9"/>
        <v>0.62810917586688286</v>
      </c>
      <c r="W59" s="46">
        <f>PT!W59</f>
        <v>802.28</v>
      </c>
      <c r="X59" s="45">
        <f t="shared" si="10"/>
        <v>0.75263619203686738</v>
      </c>
      <c r="Y59" s="46"/>
      <c r="Z59" s="46"/>
      <c r="AA59" s="47">
        <f t="shared" si="11"/>
        <v>0</v>
      </c>
      <c r="AB59" s="47">
        <f>IFERROR(_xlfn.XLOOKUP($C:$C,'DT PPM'!$F:$F,'DT PPM'!$D:$D),0)</f>
        <v>0</v>
      </c>
      <c r="AC59" s="47">
        <f>IFERROR(VLOOKUP(C59,'DT PPM'!$C$3:$E$1048576,3,0),0)</f>
        <v>0</v>
      </c>
    </row>
    <row r="60" spans="2:29" x14ac:dyDescent="0.25">
      <c r="W60" s="32"/>
    </row>
    <row r="61" spans="2:29" x14ac:dyDescent="0.25">
      <c r="N61" s="33"/>
      <c r="P61" s="33"/>
      <c r="R61" s="33"/>
      <c r="X61" s="32">
        <f>W59/Q59</f>
        <v>0.54696682529077301</v>
      </c>
    </row>
    <row r="62" spans="2:29" x14ac:dyDescent="0.25">
      <c r="H62" s="26">
        <f>H59-PT!H59</f>
        <v>0</v>
      </c>
      <c r="I62" s="26">
        <f>I59-PT!I59</f>
        <v>0</v>
      </c>
      <c r="J62" s="26">
        <f>J59-PT!J59</f>
        <v>0</v>
      </c>
      <c r="L62" s="26">
        <f>L59-PT!L59</f>
        <v>0</v>
      </c>
      <c r="M62" s="40">
        <f>M59-PT!M59</f>
        <v>0</v>
      </c>
      <c r="N62" s="40">
        <f>N59-PT!N59</f>
        <v>6.1609240647797492E-5</v>
      </c>
      <c r="O62" s="26">
        <f>O59-PT!O59</f>
        <v>0</v>
      </c>
      <c r="P62" s="40">
        <f>P59-PT!P59</f>
        <v>5.6381680023642744E-5</v>
      </c>
      <c r="Q62" s="26">
        <f>Q59-PT!Q59</f>
        <v>0</v>
      </c>
      <c r="R62" s="40">
        <f>R59-PT!R59</f>
        <v>1.7990920671451249E-5</v>
      </c>
      <c r="S62" s="26">
        <f>S59-PT!S59</f>
        <v>0</v>
      </c>
      <c r="T62" s="40">
        <f>T59-PT!T59</f>
        <v>5.9148998006408604E-5</v>
      </c>
      <c r="U62" s="26">
        <f>U59-PT!U59</f>
        <v>0</v>
      </c>
      <c r="V62" s="40">
        <f>V59-PT!V59</f>
        <v>9.1758668828711976E-6</v>
      </c>
      <c r="W62" s="26">
        <f>W59-PT!W59</f>
        <v>0</v>
      </c>
      <c r="X62" s="40">
        <f>X59-PT!X59</f>
        <v>3.6192036867332966E-5</v>
      </c>
      <c r="Y62" s="26">
        <f>Y59-PT!Y59</f>
        <v>0</v>
      </c>
      <c r="Z62" s="26">
        <f>Z59-PT!Z59</f>
        <v>0</v>
      </c>
    </row>
  </sheetData>
  <mergeCells count="6">
    <mergeCell ref="W1:X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4BE80-22E7-4819-BDDA-2367A3F02D5D}">
  <dimension ref="B2:F55"/>
  <sheetViews>
    <sheetView topLeftCell="A31" workbookViewId="0">
      <selection activeCell="C55" sqref="C55"/>
    </sheetView>
  </sheetViews>
  <sheetFormatPr baseColWidth="10" defaultColWidth="10.625" defaultRowHeight="12.75" x14ac:dyDescent="0.2"/>
  <cols>
    <col min="1" max="1" width="10.625" style="1"/>
    <col min="2" max="2" width="12.125" style="1" bestFit="1" customWidth="1"/>
    <col min="3" max="3" width="10.625" style="1"/>
    <col min="4" max="4" width="25.25" style="1" bestFit="1" customWidth="1"/>
    <col min="5" max="16384" width="10.625" style="1"/>
  </cols>
  <sheetData>
    <row r="2" spans="2:6" ht="25.5" x14ac:dyDescent="0.2">
      <c r="B2" s="5" t="s">
        <v>35</v>
      </c>
      <c r="C2" s="4" t="s">
        <v>36</v>
      </c>
      <c r="D2" s="1" t="s">
        <v>59</v>
      </c>
      <c r="E2" s="1" t="s">
        <v>60</v>
      </c>
    </row>
    <row r="3" spans="2:6" x14ac:dyDescent="0.2">
      <c r="B3" s="3" t="s">
        <v>61</v>
      </c>
      <c r="C3" s="12" t="s">
        <v>62</v>
      </c>
      <c r="D3" s="1">
        <v>9</v>
      </c>
      <c r="E3" s="1">
        <v>1</v>
      </c>
      <c r="F3" s="14" t="s">
        <v>62</v>
      </c>
    </row>
    <row r="4" spans="2:6" x14ac:dyDescent="0.2">
      <c r="B4" s="3" t="s">
        <v>61</v>
      </c>
      <c r="C4" s="12" t="s">
        <v>68</v>
      </c>
      <c r="D4" s="1">
        <v>8</v>
      </c>
      <c r="E4" s="1">
        <v>1</v>
      </c>
      <c r="F4" s="14" t="s">
        <v>68</v>
      </c>
    </row>
    <row r="5" spans="2:6" x14ac:dyDescent="0.2">
      <c r="B5" s="3" t="s">
        <v>61</v>
      </c>
      <c r="C5" s="12" t="s">
        <v>73</v>
      </c>
      <c r="D5" s="1">
        <v>13</v>
      </c>
      <c r="E5" s="1">
        <v>1</v>
      </c>
      <c r="F5" s="14" t="s">
        <v>73</v>
      </c>
    </row>
    <row r="6" spans="2:6" x14ac:dyDescent="0.2">
      <c r="B6" s="3" t="s">
        <v>61</v>
      </c>
      <c r="C6" s="12" t="s">
        <v>77</v>
      </c>
      <c r="D6" s="1">
        <v>4</v>
      </c>
      <c r="E6" s="1">
        <v>2</v>
      </c>
      <c r="F6" s="14" t="s">
        <v>77</v>
      </c>
    </row>
    <row r="7" spans="2:6" x14ac:dyDescent="0.2">
      <c r="B7" s="3" t="s">
        <v>61</v>
      </c>
      <c r="C7" s="12" t="s">
        <v>79</v>
      </c>
      <c r="D7" s="1">
        <v>3</v>
      </c>
      <c r="E7" s="1">
        <v>1</v>
      </c>
      <c r="F7" s="14" t="s">
        <v>79</v>
      </c>
    </row>
    <row r="8" spans="2:6" x14ac:dyDescent="0.2">
      <c r="B8" s="3" t="s">
        <v>61</v>
      </c>
      <c r="C8" s="12" t="s">
        <v>81</v>
      </c>
      <c r="D8" s="1">
        <v>7</v>
      </c>
      <c r="E8" s="1">
        <v>1</v>
      </c>
      <c r="F8" s="14" t="s">
        <v>81</v>
      </c>
    </row>
    <row r="9" spans="2:6" x14ac:dyDescent="0.2">
      <c r="B9" s="3" t="s">
        <v>61</v>
      </c>
      <c r="C9" s="12" t="s">
        <v>86</v>
      </c>
      <c r="D9" s="1">
        <v>7</v>
      </c>
      <c r="E9" s="1">
        <v>1</v>
      </c>
      <c r="F9" s="14" t="s">
        <v>86</v>
      </c>
    </row>
    <row r="10" spans="2:6" x14ac:dyDescent="0.2">
      <c r="B10" s="3" t="s">
        <v>61</v>
      </c>
      <c r="C10" s="12" t="s">
        <v>91</v>
      </c>
      <c r="D10" s="1">
        <v>5</v>
      </c>
      <c r="E10" s="1">
        <v>1</v>
      </c>
      <c r="F10" s="14" t="s">
        <v>91</v>
      </c>
    </row>
    <row r="11" spans="2:6" x14ac:dyDescent="0.2">
      <c r="B11" s="3" t="s">
        <v>61</v>
      </c>
      <c r="C11" s="12" t="s">
        <v>93</v>
      </c>
      <c r="D11" s="1">
        <v>8</v>
      </c>
      <c r="E11" s="1">
        <v>1</v>
      </c>
      <c r="F11" s="14" t="s">
        <v>93</v>
      </c>
    </row>
    <row r="12" spans="2:6" x14ac:dyDescent="0.2">
      <c r="B12" s="3" t="s">
        <v>61</v>
      </c>
      <c r="C12" s="12" t="s">
        <v>97</v>
      </c>
      <c r="D12" s="1">
        <v>1</v>
      </c>
      <c r="E12" s="1">
        <v>12</v>
      </c>
      <c r="F12" s="14" t="s">
        <v>97</v>
      </c>
    </row>
    <row r="13" spans="2:6" x14ac:dyDescent="0.2">
      <c r="B13" s="3" t="s">
        <v>61</v>
      </c>
      <c r="C13" s="12" t="s">
        <v>101</v>
      </c>
      <c r="D13" s="1">
        <v>1</v>
      </c>
      <c r="E13" s="1">
        <v>12</v>
      </c>
      <c r="F13" s="14" t="s">
        <v>101</v>
      </c>
    </row>
    <row r="14" spans="2:6" x14ac:dyDescent="0.2">
      <c r="B14" s="3" t="s">
        <v>61</v>
      </c>
      <c r="C14" s="12" t="s">
        <v>105</v>
      </c>
      <c r="D14" s="1">
        <v>9</v>
      </c>
      <c r="E14" s="1">
        <v>1</v>
      </c>
      <c r="F14" s="14" t="s">
        <v>105</v>
      </c>
    </row>
    <row r="15" spans="2:6" x14ac:dyDescent="0.2">
      <c r="B15" s="3" t="s">
        <v>61</v>
      </c>
      <c r="C15" s="12" t="s">
        <v>110</v>
      </c>
      <c r="D15" s="1">
        <v>4</v>
      </c>
      <c r="E15" s="1">
        <v>2</v>
      </c>
      <c r="F15" s="14" t="s">
        <v>110</v>
      </c>
    </row>
    <row r="16" spans="2:6" x14ac:dyDescent="0.2">
      <c r="B16" s="3" t="s">
        <v>61</v>
      </c>
      <c r="C16" s="12" t="s">
        <v>112</v>
      </c>
      <c r="D16" s="1">
        <v>1</v>
      </c>
      <c r="E16" s="1">
        <v>12</v>
      </c>
      <c r="F16" s="14" t="s">
        <v>112</v>
      </c>
    </row>
    <row r="17" spans="2:6" x14ac:dyDescent="0.2">
      <c r="B17" s="3" t="s">
        <v>61</v>
      </c>
      <c r="C17" s="12" t="s">
        <v>115</v>
      </c>
      <c r="D17" s="1">
        <v>1</v>
      </c>
      <c r="E17" s="1">
        <v>12</v>
      </c>
      <c r="F17" s="14" t="s">
        <v>115</v>
      </c>
    </row>
    <row r="18" spans="2:6" x14ac:dyDescent="0.2">
      <c r="B18" s="3" t="s">
        <v>61</v>
      </c>
      <c r="C18" s="12" t="s">
        <v>118</v>
      </c>
      <c r="D18" s="1">
        <v>1</v>
      </c>
      <c r="E18" s="1">
        <v>12</v>
      </c>
      <c r="F18" s="14" t="s">
        <v>118</v>
      </c>
    </row>
    <row r="19" spans="2:6" x14ac:dyDescent="0.2">
      <c r="B19" s="3" t="s">
        <v>61</v>
      </c>
      <c r="C19" s="12" t="s">
        <v>123</v>
      </c>
      <c r="D19" s="1">
        <v>1</v>
      </c>
      <c r="E19" s="1">
        <v>8</v>
      </c>
      <c r="F19" s="14" t="s">
        <v>123</v>
      </c>
    </row>
    <row r="20" spans="2:6" x14ac:dyDescent="0.2">
      <c r="B20" s="3" t="s">
        <v>61</v>
      </c>
      <c r="C20" s="12" t="s">
        <v>126</v>
      </c>
      <c r="D20" s="1">
        <v>1</v>
      </c>
      <c r="E20" s="1">
        <v>8</v>
      </c>
      <c r="F20" s="14" t="s">
        <v>126</v>
      </c>
    </row>
    <row r="21" spans="2:6" x14ac:dyDescent="0.2">
      <c r="B21" s="3" t="s">
        <v>61</v>
      </c>
      <c r="C21" s="12" t="s">
        <v>128</v>
      </c>
      <c r="D21" s="1">
        <v>1</v>
      </c>
      <c r="E21" s="1">
        <v>10</v>
      </c>
      <c r="F21" s="14" t="s">
        <v>128</v>
      </c>
    </row>
    <row r="22" spans="2:6" x14ac:dyDescent="0.2">
      <c r="B22" s="3" t="s">
        <v>61</v>
      </c>
      <c r="C22" s="12" t="s">
        <v>131</v>
      </c>
      <c r="D22" s="1">
        <v>2</v>
      </c>
      <c r="E22" s="1">
        <v>1</v>
      </c>
      <c r="F22" s="14" t="s">
        <v>131</v>
      </c>
    </row>
    <row r="23" spans="2:6" x14ac:dyDescent="0.2">
      <c r="B23" s="3" t="s">
        <v>61</v>
      </c>
      <c r="C23" s="12" t="s">
        <v>135</v>
      </c>
      <c r="D23" s="1">
        <v>2</v>
      </c>
      <c r="E23" s="1">
        <v>1</v>
      </c>
      <c r="F23" s="14" t="s">
        <v>135</v>
      </c>
    </row>
    <row r="24" spans="2:6" x14ac:dyDescent="0.2">
      <c r="B24" s="3" t="s">
        <v>61</v>
      </c>
      <c r="C24" s="12" t="s">
        <v>138</v>
      </c>
      <c r="D24" s="1">
        <v>1</v>
      </c>
      <c r="E24" s="1">
        <v>16</v>
      </c>
      <c r="F24" s="14" t="s">
        <v>138</v>
      </c>
    </row>
    <row r="25" spans="2:6" x14ac:dyDescent="0.2">
      <c r="B25" s="3" t="s">
        <v>61</v>
      </c>
      <c r="C25" s="12" t="s">
        <v>143</v>
      </c>
      <c r="D25" s="1">
        <v>1</v>
      </c>
      <c r="E25" s="1">
        <v>15</v>
      </c>
      <c r="F25" s="14" t="s">
        <v>143</v>
      </c>
    </row>
    <row r="26" spans="2:6" x14ac:dyDescent="0.2">
      <c r="B26" s="3" t="s">
        <v>61</v>
      </c>
      <c r="C26" s="12" t="s">
        <v>148</v>
      </c>
      <c r="D26" s="1">
        <v>6</v>
      </c>
      <c r="E26" s="1">
        <v>1</v>
      </c>
      <c r="F26" s="14" t="s">
        <v>148</v>
      </c>
    </row>
    <row r="27" spans="2:6" x14ac:dyDescent="0.2">
      <c r="B27" s="3" t="s">
        <v>61</v>
      </c>
      <c r="C27" s="12" t="s">
        <v>150</v>
      </c>
      <c r="D27" s="1">
        <v>1</v>
      </c>
      <c r="E27" s="1">
        <v>16</v>
      </c>
      <c r="F27" s="14" t="s">
        <v>150</v>
      </c>
    </row>
    <row r="28" spans="2:6" x14ac:dyDescent="0.2">
      <c r="B28" s="3" t="s">
        <v>61</v>
      </c>
      <c r="C28" s="12" t="s">
        <v>154</v>
      </c>
      <c r="D28" s="1">
        <v>10</v>
      </c>
      <c r="E28" s="1">
        <v>1</v>
      </c>
      <c r="F28" s="14" t="s">
        <v>154</v>
      </c>
    </row>
    <row r="29" spans="2:6" x14ac:dyDescent="0.2">
      <c r="B29" s="3" t="s">
        <v>61</v>
      </c>
      <c r="C29" s="12" t="s">
        <v>159</v>
      </c>
      <c r="D29" s="1">
        <v>10</v>
      </c>
      <c r="E29" s="1">
        <v>1</v>
      </c>
      <c r="F29" s="14" t="s">
        <v>159</v>
      </c>
    </row>
    <row r="30" spans="2:6" x14ac:dyDescent="0.2">
      <c r="B30" s="3" t="s">
        <v>61</v>
      </c>
      <c r="C30" s="12" t="s">
        <v>164</v>
      </c>
      <c r="D30" s="1">
        <v>9</v>
      </c>
      <c r="E30" s="1">
        <v>1</v>
      </c>
      <c r="F30" s="14" t="s">
        <v>164</v>
      </c>
    </row>
    <row r="31" spans="2:6" x14ac:dyDescent="0.2">
      <c r="B31" s="3" t="s">
        <v>61</v>
      </c>
      <c r="C31" s="12" t="s">
        <v>169</v>
      </c>
      <c r="D31" s="1">
        <v>7</v>
      </c>
      <c r="E31" s="1">
        <v>1</v>
      </c>
      <c r="F31" s="14" t="s">
        <v>169</v>
      </c>
    </row>
    <row r="32" spans="2:6" x14ac:dyDescent="0.2">
      <c r="B32" s="3" t="s">
        <v>61</v>
      </c>
      <c r="C32" s="12" t="s">
        <v>174</v>
      </c>
      <c r="D32" s="1">
        <v>10</v>
      </c>
      <c r="E32" s="1">
        <v>1</v>
      </c>
      <c r="F32" s="14" t="s">
        <v>174</v>
      </c>
    </row>
    <row r="33" spans="2:6" x14ac:dyDescent="0.2">
      <c r="B33" s="3" t="s">
        <v>61</v>
      </c>
      <c r="C33" s="12" t="s">
        <v>176</v>
      </c>
      <c r="D33" s="1">
        <v>9</v>
      </c>
      <c r="E33" s="1">
        <v>1</v>
      </c>
      <c r="F33" s="14" t="s">
        <v>176</v>
      </c>
    </row>
    <row r="34" spans="2:6" x14ac:dyDescent="0.2">
      <c r="B34" s="3" t="s">
        <v>61</v>
      </c>
      <c r="C34" s="12" t="s">
        <v>178</v>
      </c>
      <c r="D34" s="1">
        <v>2</v>
      </c>
      <c r="E34" s="1">
        <v>1</v>
      </c>
      <c r="F34" s="14" t="s">
        <v>178</v>
      </c>
    </row>
    <row r="35" spans="2:6" x14ac:dyDescent="0.2">
      <c r="B35" s="3" t="s">
        <v>61</v>
      </c>
      <c r="C35" s="12" t="s">
        <v>183</v>
      </c>
      <c r="D35" s="1">
        <v>1</v>
      </c>
      <c r="E35" s="1">
        <v>10</v>
      </c>
      <c r="F35" s="14" t="s">
        <v>183</v>
      </c>
    </row>
    <row r="36" spans="2:6" x14ac:dyDescent="0.2">
      <c r="B36" s="3" t="s">
        <v>61</v>
      </c>
      <c r="C36" s="12" t="s">
        <v>192</v>
      </c>
      <c r="D36" s="1">
        <v>10</v>
      </c>
      <c r="E36" s="1">
        <v>1</v>
      </c>
      <c r="F36" s="14" t="s">
        <v>192</v>
      </c>
    </row>
    <row r="37" spans="2:6" x14ac:dyDescent="0.2">
      <c r="B37" s="3" t="s">
        <v>61</v>
      </c>
      <c r="C37" s="12" t="s">
        <v>195</v>
      </c>
      <c r="D37" s="1">
        <v>1</v>
      </c>
      <c r="E37" s="1">
        <v>10</v>
      </c>
      <c r="F37" s="14" t="s">
        <v>195</v>
      </c>
    </row>
    <row r="38" spans="2:6" x14ac:dyDescent="0.2">
      <c r="B38" s="3" t="s">
        <v>61</v>
      </c>
      <c r="C38" s="12" t="s">
        <v>199</v>
      </c>
      <c r="D38" s="1">
        <v>2</v>
      </c>
      <c r="E38" s="1">
        <v>1</v>
      </c>
      <c r="F38" s="14" t="s">
        <v>199</v>
      </c>
    </row>
    <row r="39" spans="2:6" x14ac:dyDescent="0.2">
      <c r="B39" s="3" t="s">
        <v>61</v>
      </c>
      <c r="C39" s="3" t="s">
        <v>203</v>
      </c>
      <c r="D39" s="1">
        <v>7</v>
      </c>
      <c r="E39" s="1">
        <v>1</v>
      </c>
      <c r="F39" s="14" t="s">
        <v>203</v>
      </c>
    </row>
    <row r="40" spans="2:6" x14ac:dyDescent="0.2">
      <c r="B40" s="3" t="s">
        <v>61</v>
      </c>
      <c r="C40" s="12" t="s">
        <v>188</v>
      </c>
      <c r="D40" s="1">
        <v>4</v>
      </c>
      <c r="E40" s="1">
        <v>2</v>
      </c>
      <c r="F40" s="15" t="str">
        <f>+C40</f>
        <v>963603</v>
      </c>
    </row>
    <row r="41" spans="2:6" x14ac:dyDescent="0.2">
      <c r="B41" s="6" t="s">
        <v>61</v>
      </c>
      <c r="C41" s="13" t="s">
        <v>28</v>
      </c>
      <c r="D41" s="1">
        <v>0</v>
      </c>
      <c r="E41" s="1">
        <v>0</v>
      </c>
      <c r="F41" s="14" t="s">
        <v>28</v>
      </c>
    </row>
    <row r="42" spans="2:6" x14ac:dyDescent="0.2">
      <c r="B42" s="3" t="s">
        <v>208</v>
      </c>
      <c r="C42" s="12" t="s">
        <v>209</v>
      </c>
      <c r="D42" s="1">
        <v>24</v>
      </c>
      <c r="E42" s="1">
        <v>1</v>
      </c>
      <c r="F42" s="14" t="s">
        <v>209</v>
      </c>
    </row>
    <row r="43" spans="2:6" x14ac:dyDescent="0.2">
      <c r="B43" s="3" t="s">
        <v>208</v>
      </c>
      <c r="C43" s="12" t="s">
        <v>213</v>
      </c>
      <c r="D43" s="1">
        <v>4</v>
      </c>
      <c r="E43" s="1">
        <v>1</v>
      </c>
      <c r="F43" s="14" t="s">
        <v>213</v>
      </c>
    </row>
    <row r="44" spans="2:6" x14ac:dyDescent="0.2">
      <c r="B44" s="3" t="s">
        <v>208</v>
      </c>
      <c r="C44" s="12" t="s">
        <v>218</v>
      </c>
      <c r="D44" s="1">
        <v>12</v>
      </c>
      <c r="E44" s="1">
        <v>1</v>
      </c>
      <c r="F44" s="14" t="s">
        <v>218</v>
      </c>
    </row>
    <row r="45" spans="2:6" x14ac:dyDescent="0.2">
      <c r="B45" s="3" t="s">
        <v>208</v>
      </c>
      <c r="C45" s="12" t="s">
        <v>222</v>
      </c>
      <c r="D45" s="1">
        <v>24</v>
      </c>
      <c r="E45" s="1">
        <v>1</v>
      </c>
      <c r="F45" s="14" t="s">
        <v>222</v>
      </c>
    </row>
    <row r="46" spans="2:6" x14ac:dyDescent="0.2">
      <c r="B46" s="3" t="s">
        <v>208</v>
      </c>
      <c r="C46" s="12" t="s">
        <v>227</v>
      </c>
      <c r="D46" s="1">
        <v>1</v>
      </c>
      <c r="E46" s="1">
        <v>18</v>
      </c>
      <c r="F46" s="14" t="s">
        <v>227</v>
      </c>
    </row>
    <row r="47" spans="2:6" x14ac:dyDescent="0.2">
      <c r="B47" s="3" t="s">
        <v>208</v>
      </c>
      <c r="C47" s="12" t="s">
        <v>232</v>
      </c>
      <c r="D47" s="1">
        <v>24</v>
      </c>
      <c r="E47" s="1">
        <v>1</v>
      </c>
      <c r="F47" s="14" t="s">
        <v>232</v>
      </c>
    </row>
    <row r="48" spans="2:6" x14ac:dyDescent="0.2">
      <c r="B48" s="3" t="s">
        <v>208</v>
      </c>
      <c r="C48" s="12" t="s">
        <v>235</v>
      </c>
      <c r="D48" s="1">
        <v>24</v>
      </c>
      <c r="E48" s="1">
        <v>1</v>
      </c>
      <c r="F48" s="14" t="s">
        <v>235</v>
      </c>
    </row>
    <row r="49" spans="2:6" x14ac:dyDescent="0.2">
      <c r="B49" s="3" t="s">
        <v>208</v>
      </c>
      <c r="C49" s="12" t="s">
        <v>239</v>
      </c>
      <c r="D49" s="1">
        <v>9</v>
      </c>
      <c r="E49" s="1">
        <v>1</v>
      </c>
      <c r="F49" s="14" t="s">
        <v>239</v>
      </c>
    </row>
    <row r="50" spans="2:6" x14ac:dyDescent="0.2">
      <c r="B50" s="3" t="s">
        <v>208</v>
      </c>
      <c r="C50" s="12" t="s">
        <v>247</v>
      </c>
      <c r="D50" s="1">
        <v>4</v>
      </c>
      <c r="E50" s="1">
        <v>1</v>
      </c>
      <c r="F50" s="14" t="s">
        <v>247</v>
      </c>
    </row>
    <row r="51" spans="2:6" x14ac:dyDescent="0.2">
      <c r="B51" s="3" t="s">
        <v>208</v>
      </c>
      <c r="C51" s="12" t="s">
        <v>243</v>
      </c>
      <c r="D51" s="1">
        <v>8</v>
      </c>
      <c r="E51" s="1">
        <v>1</v>
      </c>
      <c r="F51" s="14" t="s">
        <v>243</v>
      </c>
    </row>
    <row r="52" spans="2:6" x14ac:dyDescent="0.2">
      <c r="B52" s="6" t="s">
        <v>208</v>
      </c>
      <c r="C52" s="13" t="s">
        <v>28</v>
      </c>
      <c r="D52" s="1">
        <v>0</v>
      </c>
      <c r="E52" s="1">
        <v>0</v>
      </c>
      <c r="F52" s="14" t="s">
        <v>28</v>
      </c>
    </row>
    <row r="53" spans="2:6" x14ac:dyDescent="0.2">
      <c r="B53" s="3" t="s">
        <v>250</v>
      </c>
      <c r="C53" s="12" t="s">
        <v>251</v>
      </c>
      <c r="D53" s="1">
        <v>92</v>
      </c>
      <c r="E53" s="1">
        <v>1</v>
      </c>
      <c r="F53" s="14" t="s">
        <v>251</v>
      </c>
    </row>
    <row r="54" spans="2:6" x14ac:dyDescent="0.2">
      <c r="B54" s="6" t="s">
        <v>250</v>
      </c>
      <c r="C54" s="13" t="s">
        <v>28</v>
      </c>
      <c r="D54" s="1">
        <v>0</v>
      </c>
      <c r="E54" s="1">
        <v>0</v>
      </c>
      <c r="F54" s="14" t="s">
        <v>28</v>
      </c>
    </row>
    <row r="55" spans="2:6" x14ac:dyDescent="0.2">
      <c r="B55" s="6" t="s">
        <v>255</v>
      </c>
      <c r="C55" s="13" t="s">
        <v>28</v>
      </c>
      <c r="D55" s="1">
        <v>0</v>
      </c>
      <c r="E55" s="1">
        <v>0</v>
      </c>
      <c r="F55" s="14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C709-E010-4804-919F-CEDF1C925246}">
  <sheetPr>
    <tabColor rgb="FFFF0000"/>
  </sheetPr>
  <dimension ref="A1:Q76"/>
  <sheetViews>
    <sheetView showGridLines="0" tabSelected="1" topLeftCell="A3" workbookViewId="0">
      <selection activeCell="E6" sqref="E6"/>
    </sheetView>
  </sheetViews>
  <sheetFormatPr baseColWidth="10" defaultColWidth="10.625" defaultRowHeight="15.75" x14ac:dyDescent="0.25"/>
  <cols>
    <col min="1" max="1" width="12.625" style="50" bestFit="1" customWidth="1"/>
    <col min="2" max="3" width="12.625" style="50" hidden="1" customWidth="1"/>
    <col min="4" max="4" width="2.125" style="115" customWidth="1"/>
    <col min="5" max="5" width="22.375" style="90" customWidth="1"/>
    <col min="6" max="6" width="14.375" style="50" customWidth="1"/>
    <col min="7" max="7" width="10.375" style="50" bestFit="1" customWidth="1"/>
    <col min="8" max="8" width="7.875" style="50" bestFit="1" customWidth="1"/>
    <col min="9" max="9" width="8.125" style="50" bestFit="1" customWidth="1"/>
    <col min="10" max="10" width="8.25" style="50" customWidth="1"/>
    <col min="11" max="11" width="7.875" style="50" bestFit="1" customWidth="1"/>
    <col min="12" max="13" width="5.875" style="50" bestFit="1" customWidth="1"/>
    <col min="14" max="14" width="6.375" style="50" bestFit="1" customWidth="1"/>
    <col min="15" max="15" width="7.625" style="50" bestFit="1" customWidth="1"/>
    <col min="16" max="16" width="10.375" style="50" bestFit="1" customWidth="1"/>
    <col min="17" max="17" width="6.375" style="50" bestFit="1" customWidth="1"/>
    <col min="18" max="31" width="10.625" style="50" customWidth="1"/>
    <col min="32" max="16384" width="10.625" style="50"/>
  </cols>
  <sheetData>
    <row r="1" spans="1:17" ht="17.25" hidden="1" customHeight="1" x14ac:dyDescent="0.25"/>
    <row r="2" spans="1:17" ht="17.25" hidden="1" customHeight="1" x14ac:dyDescent="0.25"/>
    <row r="4" spans="1:17" ht="47.25" customHeight="1" x14ac:dyDescent="0.25">
      <c r="E4" s="86" t="s">
        <v>266</v>
      </c>
      <c r="F4" s="87" t="s">
        <v>267</v>
      </c>
      <c r="G4" s="87" t="s">
        <v>268</v>
      </c>
      <c r="H4" s="87" t="s">
        <v>269</v>
      </c>
      <c r="I4" s="87" t="s">
        <v>270</v>
      </c>
      <c r="J4" s="87" t="s">
        <v>271</v>
      </c>
      <c r="K4" s="88" t="s">
        <v>272</v>
      </c>
      <c r="L4" s="89" t="s">
        <v>273</v>
      </c>
      <c r="M4" s="89" t="s">
        <v>274</v>
      </c>
      <c r="N4" s="89" t="s">
        <v>275</v>
      </c>
      <c r="O4" s="89" t="s">
        <v>276</v>
      </c>
      <c r="P4" s="89" t="s">
        <v>277</v>
      </c>
      <c r="Q4" s="87" t="s">
        <v>278</v>
      </c>
    </row>
    <row r="5" spans="1:17" x14ac:dyDescent="0.25">
      <c r="B5" s="112" t="s">
        <v>280</v>
      </c>
      <c r="C5" s="112"/>
      <c r="E5" s="91" t="s">
        <v>279</v>
      </c>
      <c r="F5" s="51">
        <v>1.06E-2</v>
      </c>
      <c r="G5" s="51">
        <v>8.199999999999999E-3</v>
      </c>
      <c r="H5" s="51">
        <v>1.89E-2</v>
      </c>
      <c r="I5" s="51">
        <v>1.3000000000000001E-2</v>
      </c>
      <c r="J5" s="52">
        <v>0.38</v>
      </c>
      <c r="K5" s="53">
        <v>1.7000000000000001E-2</v>
      </c>
      <c r="L5" s="54">
        <v>32.6</v>
      </c>
      <c r="M5" s="55">
        <v>0.92</v>
      </c>
      <c r="N5" s="55">
        <v>0.86</v>
      </c>
      <c r="O5" s="56">
        <v>0.97499999999999998</v>
      </c>
      <c r="P5" s="55">
        <v>0.95</v>
      </c>
      <c r="Q5" s="55">
        <v>0.5</v>
      </c>
    </row>
    <row r="6" spans="1:17" x14ac:dyDescent="0.25">
      <c r="B6" s="57" t="s">
        <v>281</v>
      </c>
      <c r="C6" s="57" t="s">
        <v>282</v>
      </c>
      <c r="E6" s="92" t="s">
        <v>279</v>
      </c>
      <c r="F6" s="58">
        <f>F5*100</f>
        <v>1.06</v>
      </c>
      <c r="G6" s="59">
        <f>G5*100</f>
        <v>0.81999999999999984</v>
      </c>
      <c r="H6" s="59">
        <f>H5*100</f>
        <v>1.8900000000000001</v>
      </c>
      <c r="I6" s="60">
        <f>I5*100</f>
        <v>1.3</v>
      </c>
      <c r="J6" s="61">
        <f>J5</f>
        <v>0.38</v>
      </c>
      <c r="K6" s="111">
        <f>K5*100</f>
        <v>1.7000000000000002</v>
      </c>
      <c r="L6" s="59">
        <f>L5</f>
        <v>32.6</v>
      </c>
      <c r="M6" s="62">
        <f>M5*100</f>
        <v>92</v>
      </c>
      <c r="N6" s="62">
        <f>N5*100</f>
        <v>86</v>
      </c>
      <c r="O6" s="60">
        <f>O5*100</f>
        <v>97.5</v>
      </c>
      <c r="P6" s="60">
        <f>P5*100</f>
        <v>95</v>
      </c>
      <c r="Q6" s="59">
        <f>Q5*100</f>
        <v>50</v>
      </c>
    </row>
    <row r="7" spans="1:17" x14ac:dyDescent="0.25">
      <c r="A7" s="114" t="s">
        <v>284</v>
      </c>
      <c r="B7" s="113"/>
      <c r="C7" s="113"/>
      <c r="E7" s="93" t="s">
        <v>396</v>
      </c>
      <c r="F7" s="64">
        <v>1</v>
      </c>
      <c r="G7" s="70">
        <v>0.8</v>
      </c>
      <c r="H7" s="70">
        <v>1.7</v>
      </c>
      <c r="I7" s="66">
        <v>0.9</v>
      </c>
      <c r="J7" s="55">
        <v>0.38</v>
      </c>
      <c r="K7" s="66">
        <v>2</v>
      </c>
      <c r="L7" s="70">
        <v>20.86</v>
      </c>
      <c r="M7" s="67">
        <v>84</v>
      </c>
      <c r="N7" s="67">
        <v>89</v>
      </c>
      <c r="O7" s="66">
        <v>96</v>
      </c>
      <c r="P7" s="66">
        <v>95</v>
      </c>
      <c r="Q7" s="59">
        <v>50</v>
      </c>
    </row>
    <row r="8" spans="1:17" x14ac:dyDescent="0.25">
      <c r="A8" s="114"/>
      <c r="B8" s="113"/>
      <c r="C8" s="113"/>
      <c r="E8" s="93" t="s">
        <v>397</v>
      </c>
      <c r="F8" s="64">
        <v>1.06</v>
      </c>
      <c r="G8" s="70">
        <v>0.9</v>
      </c>
      <c r="H8" s="70">
        <v>1.89</v>
      </c>
      <c r="I8" s="66">
        <v>1.3</v>
      </c>
      <c r="J8" s="55">
        <v>0.38</v>
      </c>
      <c r="K8" s="66">
        <v>1.7</v>
      </c>
      <c r="L8" s="70">
        <v>32.6</v>
      </c>
      <c r="M8" s="67">
        <v>84</v>
      </c>
      <c r="N8" s="67">
        <v>86</v>
      </c>
      <c r="O8" s="66">
        <v>97.5</v>
      </c>
      <c r="P8" s="66">
        <v>95</v>
      </c>
      <c r="Q8" s="59">
        <v>50</v>
      </c>
    </row>
    <row r="9" spans="1:17" x14ac:dyDescent="0.25">
      <c r="A9" s="114"/>
      <c r="B9" s="113"/>
      <c r="C9" s="113"/>
      <c r="E9" s="93" t="s">
        <v>398</v>
      </c>
      <c r="F9" s="64">
        <v>0.46</v>
      </c>
      <c r="G9" s="70">
        <v>0.44</v>
      </c>
      <c r="H9" s="70">
        <v>0.9</v>
      </c>
      <c r="I9" s="66">
        <v>0.7</v>
      </c>
      <c r="J9" s="55">
        <v>0.4</v>
      </c>
      <c r="K9" s="65">
        <v>1.37</v>
      </c>
      <c r="L9" s="70">
        <v>39.090000000000003</v>
      </c>
      <c r="M9" s="67">
        <v>92</v>
      </c>
      <c r="N9" s="67">
        <v>95</v>
      </c>
      <c r="O9" s="66">
        <v>99.5</v>
      </c>
      <c r="P9" s="66">
        <v>95</v>
      </c>
      <c r="Q9" s="59">
        <v>50</v>
      </c>
    </row>
    <row r="10" spans="1:17" x14ac:dyDescent="0.25">
      <c r="A10" s="114"/>
      <c r="B10" s="113"/>
      <c r="C10" s="113"/>
      <c r="E10" s="68" t="s">
        <v>399</v>
      </c>
      <c r="F10" s="69">
        <f>PT!N59</f>
        <v>0.80979999999999996</v>
      </c>
      <c r="G10" s="69">
        <f>PT!P59</f>
        <v>0.56610000000000005</v>
      </c>
      <c r="H10" s="69">
        <f>PT!R59</f>
        <v>1.3759999999999999</v>
      </c>
      <c r="I10" s="66">
        <f>PT!V59</f>
        <v>0.62809999999999999</v>
      </c>
      <c r="J10" s="55">
        <f>PT!X61</f>
        <v>0.54696682529077301</v>
      </c>
      <c r="K10" s="70">
        <f>'OEE2'!Y6</f>
        <v>0.30836510428347164</v>
      </c>
      <c r="L10" s="65">
        <f>'OEE2'!U6</f>
        <v>33.19</v>
      </c>
      <c r="M10" s="65">
        <f>'OEE2'!V6</f>
        <v>93.78</v>
      </c>
      <c r="N10" s="66">
        <f>'OEE2'!S6</f>
        <v>96.53</v>
      </c>
      <c r="O10" s="66">
        <f>'OEE2'!T6</f>
        <v>97.15</v>
      </c>
      <c r="P10" s="65">
        <v>97.94</v>
      </c>
      <c r="Q10" s="66">
        <f>'OEE2'!R6</f>
        <v>35.380000000000003</v>
      </c>
    </row>
    <row r="11" spans="1:17" x14ac:dyDescent="0.25">
      <c r="A11" s="114"/>
      <c r="B11" s="113"/>
      <c r="C11" s="113"/>
      <c r="E11" s="68" t="s">
        <v>400</v>
      </c>
      <c r="F11" s="71">
        <f>'PT (FORMULA)'!N59</f>
        <v>0.80986160924064776</v>
      </c>
      <c r="G11" s="71">
        <f>'PT (FORMULA)'!P59</f>
        <v>0.56615638168002369</v>
      </c>
      <c r="H11" s="71">
        <f>'PT (FORMULA)'!R59</f>
        <v>1.3760179909206713</v>
      </c>
      <c r="I11" s="71">
        <f>'PT (FORMULA)'!V59</f>
        <v>0.62810917586688286</v>
      </c>
      <c r="J11" s="72">
        <f>'PT (FORMULA)'!X61</f>
        <v>0.54696682529077301</v>
      </c>
      <c r="K11" s="73">
        <f>'OEE2 (FORMULA)'!Y6</f>
        <v>0.3083478163368279</v>
      </c>
      <c r="L11" s="63">
        <f>'OEE2 (FORMULA)'!U6</f>
        <v>33.192651970080064</v>
      </c>
      <c r="M11" s="63">
        <f>'OEE2 (FORMULA)'!V6</f>
        <v>93.78873461299743</v>
      </c>
      <c r="N11" s="71">
        <f>'OEE2 (FORMULA)'!S6</f>
        <v>96.535291809160725</v>
      </c>
      <c r="O11" s="71">
        <f>'OEE2 (FORMULA)'!T6</f>
        <v>97.154867256637161</v>
      </c>
      <c r="P11" s="63">
        <f>+P10</f>
        <v>97.94</v>
      </c>
      <c r="Q11" s="71">
        <f>'OEE2 (FORMULA)'!R6</f>
        <v>35.390873015873019</v>
      </c>
    </row>
    <row r="12" spans="1:17" hidden="1" x14ac:dyDescent="0.25">
      <c r="A12" s="50" t="s">
        <v>286</v>
      </c>
      <c r="B12" s="74"/>
      <c r="C12" s="74"/>
      <c r="E12" s="75" t="s">
        <v>283</v>
      </c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</row>
    <row r="13" spans="1:17" hidden="1" x14ac:dyDescent="0.25">
      <c r="A13" s="50" t="s">
        <v>287</v>
      </c>
      <c r="B13" s="76">
        <v>46022</v>
      </c>
      <c r="C13" s="76">
        <v>46028</v>
      </c>
      <c r="E13" s="77" t="s">
        <v>283</v>
      </c>
      <c r="F13" s="78">
        <v>0.47</v>
      </c>
      <c r="G13" s="78">
        <v>0</v>
      </c>
      <c r="H13" s="78">
        <v>0.47</v>
      </c>
      <c r="I13" s="79">
        <v>0.11</v>
      </c>
      <c r="J13" s="80">
        <v>0.76470000000000005</v>
      </c>
      <c r="K13" s="81">
        <v>0.43</v>
      </c>
      <c r="L13" s="82">
        <v>24.19</v>
      </c>
      <c r="M13" s="82">
        <v>94.79</v>
      </c>
      <c r="N13" s="79">
        <v>97</v>
      </c>
      <c r="O13" s="79">
        <v>97.71</v>
      </c>
      <c r="P13" s="82"/>
      <c r="Q13" s="79">
        <v>25.52</v>
      </c>
    </row>
    <row r="14" spans="1:17" hidden="1" x14ac:dyDescent="0.25">
      <c r="A14" s="50" t="s">
        <v>287</v>
      </c>
      <c r="B14" s="76">
        <v>46022</v>
      </c>
      <c r="C14" s="76">
        <v>46028</v>
      </c>
      <c r="E14" s="77" t="s">
        <v>285</v>
      </c>
      <c r="F14" s="83">
        <v>1.27</v>
      </c>
      <c r="G14" s="83">
        <v>0.49</v>
      </c>
      <c r="H14" s="83">
        <v>1.76</v>
      </c>
      <c r="I14" s="83">
        <v>0.73</v>
      </c>
      <c r="J14" s="84">
        <v>0.5171</v>
      </c>
      <c r="K14" s="85">
        <v>0.55000000000000004</v>
      </c>
      <c r="L14" s="50">
        <v>21.81</v>
      </c>
      <c r="M14" s="50">
        <v>92.97</v>
      </c>
      <c r="N14" s="83">
        <v>96.24</v>
      </c>
      <c r="O14" s="83">
        <v>96.6</v>
      </c>
      <c r="P14" s="50">
        <v>97.85</v>
      </c>
      <c r="Q14" s="83">
        <v>23.46</v>
      </c>
    </row>
    <row r="15" spans="1:17" hidden="1" x14ac:dyDescent="0.25">
      <c r="A15" s="50" t="s">
        <v>288</v>
      </c>
      <c r="B15" s="76">
        <v>46029</v>
      </c>
      <c r="C15" s="76">
        <v>46035</v>
      </c>
      <c r="E15" s="77" t="s">
        <v>283</v>
      </c>
      <c r="F15" s="78">
        <v>1.329</v>
      </c>
      <c r="G15" s="78">
        <v>0.89</v>
      </c>
      <c r="H15" s="78">
        <v>2.21</v>
      </c>
      <c r="I15" s="79">
        <v>1.43</v>
      </c>
      <c r="J15" s="80">
        <v>0.3604</v>
      </c>
      <c r="K15" s="81">
        <v>1.1299999999999999</v>
      </c>
      <c r="L15" s="82">
        <v>24.34</v>
      </c>
      <c r="M15" s="82">
        <v>78.27</v>
      </c>
      <c r="N15" s="79">
        <v>81.55</v>
      </c>
      <c r="O15" s="79">
        <v>95.97</v>
      </c>
      <c r="P15" s="82"/>
      <c r="Q15" s="79">
        <v>31.1</v>
      </c>
    </row>
    <row r="16" spans="1:17" hidden="1" x14ac:dyDescent="0.25">
      <c r="A16" s="50" t="s">
        <v>288</v>
      </c>
      <c r="B16" s="76">
        <v>46029</v>
      </c>
      <c r="C16" s="76">
        <v>46035</v>
      </c>
      <c r="E16" s="77" t="s">
        <v>285</v>
      </c>
      <c r="F16" s="83">
        <v>1.33</v>
      </c>
      <c r="G16" s="83">
        <v>0.89</v>
      </c>
      <c r="H16" s="83">
        <v>3.24</v>
      </c>
      <c r="I16" s="83">
        <v>1.43</v>
      </c>
      <c r="J16" s="84">
        <v>0.3604</v>
      </c>
      <c r="K16" s="85">
        <v>1.26</v>
      </c>
      <c r="L16" s="50">
        <v>25.14</v>
      </c>
      <c r="M16" s="50">
        <v>89.96</v>
      </c>
      <c r="N16" s="83">
        <v>93.74</v>
      </c>
      <c r="O16" s="83">
        <v>95.97</v>
      </c>
      <c r="P16" s="50">
        <v>95.22</v>
      </c>
      <c r="Q16" s="83">
        <v>27.94</v>
      </c>
    </row>
    <row r="17" spans="1:17" hidden="1" x14ac:dyDescent="0.25">
      <c r="A17" s="50" t="s">
        <v>289</v>
      </c>
      <c r="B17" s="76">
        <v>46036</v>
      </c>
      <c r="C17" s="76">
        <v>46042</v>
      </c>
      <c r="E17" s="77" t="s">
        <v>283</v>
      </c>
      <c r="F17" s="78">
        <v>1.08</v>
      </c>
      <c r="G17" s="78">
        <v>1.1000000000000001</v>
      </c>
      <c r="H17" s="78">
        <v>2.1800000000000002</v>
      </c>
      <c r="I17" s="79">
        <v>1.41</v>
      </c>
      <c r="J17" s="80">
        <v>0.35809999999999997</v>
      </c>
      <c r="K17" s="81">
        <v>1.516</v>
      </c>
      <c r="L17" s="82">
        <v>34.64</v>
      </c>
      <c r="M17" s="82">
        <v>90.06</v>
      </c>
      <c r="N17" s="79">
        <v>93.96</v>
      </c>
      <c r="O17" s="79">
        <v>95.84</v>
      </c>
      <c r="P17" s="82"/>
      <c r="Q17" s="79">
        <v>38.46</v>
      </c>
    </row>
    <row r="18" spans="1:17" hidden="1" x14ac:dyDescent="0.25">
      <c r="A18" s="50" t="s">
        <v>289</v>
      </c>
      <c r="B18" s="76">
        <v>46036</v>
      </c>
      <c r="C18" s="76">
        <v>46042</v>
      </c>
      <c r="E18" s="77" t="s">
        <v>285</v>
      </c>
      <c r="F18" s="83">
        <v>1.08</v>
      </c>
      <c r="G18" s="83">
        <v>1.1000000000000001</v>
      </c>
      <c r="H18" s="83">
        <v>2.85</v>
      </c>
      <c r="I18" s="83">
        <v>1.41</v>
      </c>
      <c r="J18" s="84">
        <v>0.35820000000000002</v>
      </c>
      <c r="K18" s="85">
        <v>1.52</v>
      </c>
      <c r="L18" s="50">
        <v>34.950000000000003</v>
      </c>
      <c r="M18" s="50">
        <v>90.85</v>
      </c>
      <c r="N18" s="83">
        <v>93.96</v>
      </c>
      <c r="O18" s="83">
        <v>96.69</v>
      </c>
      <c r="P18" s="50">
        <v>89.9</v>
      </c>
      <c r="Q18" s="83">
        <v>38.46</v>
      </c>
    </row>
    <row r="19" spans="1:17" hidden="1" x14ac:dyDescent="0.25">
      <c r="A19" s="50" t="s">
        <v>290</v>
      </c>
      <c r="B19" s="76">
        <v>46043</v>
      </c>
      <c r="C19" s="76">
        <v>46049</v>
      </c>
      <c r="E19" s="77" t="s">
        <v>283</v>
      </c>
      <c r="F19" s="78">
        <v>1.06</v>
      </c>
      <c r="G19" s="78">
        <v>0.40799999999999997</v>
      </c>
      <c r="H19" s="78">
        <v>1.47</v>
      </c>
      <c r="I19" s="79">
        <v>1.2050000000000001</v>
      </c>
      <c r="J19" s="80">
        <v>0.18340000000000001</v>
      </c>
      <c r="K19" s="81">
        <v>2.1850000000000001</v>
      </c>
      <c r="L19" s="82">
        <v>35.99</v>
      </c>
      <c r="M19" s="82">
        <v>95.07</v>
      </c>
      <c r="N19" s="79">
        <v>93.28</v>
      </c>
      <c r="O19" s="79">
        <v>101.92</v>
      </c>
      <c r="P19" s="82"/>
      <c r="Q19" s="79">
        <v>37.86</v>
      </c>
    </row>
    <row r="20" spans="1:17" hidden="1" x14ac:dyDescent="0.25">
      <c r="A20" s="50" t="s">
        <v>290</v>
      </c>
      <c r="B20" s="76">
        <v>46043</v>
      </c>
      <c r="C20" s="76">
        <v>46049</v>
      </c>
      <c r="E20" s="77" t="s">
        <v>285</v>
      </c>
      <c r="F20" s="83">
        <v>1.06</v>
      </c>
      <c r="G20" s="83">
        <v>0.41</v>
      </c>
      <c r="H20" s="83">
        <v>3.09</v>
      </c>
      <c r="I20" s="83">
        <v>1.21</v>
      </c>
      <c r="J20" s="84">
        <v>0.1835</v>
      </c>
      <c r="K20" s="85">
        <v>2.19</v>
      </c>
      <c r="L20" s="50">
        <v>35.99</v>
      </c>
      <c r="M20" s="50">
        <v>95.07</v>
      </c>
      <c r="N20" s="83">
        <v>93.28</v>
      </c>
      <c r="O20" s="83">
        <v>101.92</v>
      </c>
      <c r="P20" s="50">
        <v>97.4</v>
      </c>
      <c r="Q20" s="83">
        <v>37.86</v>
      </c>
    </row>
    <row r="21" spans="1:17" hidden="1" x14ac:dyDescent="0.25">
      <c r="A21" s="50" t="s">
        <v>291</v>
      </c>
      <c r="B21" s="76">
        <v>46050</v>
      </c>
      <c r="C21" s="76">
        <v>46056</v>
      </c>
      <c r="E21" s="77" t="s">
        <v>283</v>
      </c>
      <c r="F21" s="78">
        <v>0.83</v>
      </c>
      <c r="G21" s="78">
        <v>0.56000000000000005</v>
      </c>
      <c r="H21" s="78">
        <v>1.39</v>
      </c>
      <c r="I21" s="79">
        <v>0.57999999999999996</v>
      </c>
      <c r="J21" s="80">
        <v>0.58340000000000003</v>
      </c>
      <c r="K21" s="81">
        <v>0.61499999999999999</v>
      </c>
      <c r="L21" s="82">
        <v>34.64</v>
      </c>
      <c r="M21" s="82">
        <v>88.02</v>
      </c>
      <c r="N21" s="79">
        <v>88.8</v>
      </c>
      <c r="O21" s="79">
        <v>99.12</v>
      </c>
      <c r="P21" s="82"/>
      <c r="Q21" s="79">
        <v>39.35</v>
      </c>
    </row>
    <row r="22" spans="1:17" hidden="1" x14ac:dyDescent="0.25">
      <c r="A22" s="50" t="s">
        <v>291</v>
      </c>
      <c r="B22" s="76">
        <v>46050</v>
      </c>
      <c r="C22" s="76">
        <v>46056</v>
      </c>
      <c r="E22" s="77" t="s">
        <v>285</v>
      </c>
      <c r="F22" s="83">
        <v>0.83</v>
      </c>
      <c r="G22" s="83">
        <v>0.56000000000000005</v>
      </c>
      <c r="H22" s="83">
        <v>1.39</v>
      </c>
      <c r="I22" s="83">
        <v>0.57999999999999996</v>
      </c>
      <c r="J22" s="84">
        <v>0.58340000000000003</v>
      </c>
      <c r="K22" s="85">
        <v>0.66</v>
      </c>
      <c r="L22" s="50">
        <v>35.299999999999997</v>
      </c>
      <c r="M22" s="50">
        <v>96.63</v>
      </c>
      <c r="N22" s="83">
        <v>97.49</v>
      </c>
      <c r="O22" s="83">
        <v>99.12</v>
      </c>
      <c r="P22" s="50">
        <v>98.67</v>
      </c>
      <c r="Q22" s="83">
        <v>36.53</v>
      </c>
    </row>
    <row r="23" spans="1:17" hidden="1" x14ac:dyDescent="0.25">
      <c r="A23" s="50" t="s">
        <v>292</v>
      </c>
      <c r="B23" s="76">
        <v>46057</v>
      </c>
      <c r="C23" s="76">
        <v>46063</v>
      </c>
      <c r="E23" s="77" t="s">
        <v>283</v>
      </c>
      <c r="F23" s="78">
        <v>0.77</v>
      </c>
      <c r="G23" s="78">
        <v>0.62</v>
      </c>
      <c r="H23" s="78">
        <v>1.39</v>
      </c>
      <c r="I23" s="79">
        <v>0.5</v>
      </c>
      <c r="J23" s="80">
        <v>0.64339999999999997</v>
      </c>
      <c r="K23" s="81">
        <v>0.39</v>
      </c>
      <c r="L23" s="82">
        <v>37.57</v>
      </c>
      <c r="M23" s="82">
        <v>93.7</v>
      </c>
      <c r="N23" s="79">
        <v>95.22</v>
      </c>
      <c r="O23" s="79">
        <v>98.4</v>
      </c>
      <c r="P23" s="82"/>
      <c r="Q23" s="79">
        <v>40.090000000000003</v>
      </c>
    </row>
    <row r="24" spans="1:17" hidden="1" x14ac:dyDescent="0.25">
      <c r="A24" s="50" t="s">
        <v>292</v>
      </c>
      <c r="B24" s="76">
        <v>46057</v>
      </c>
      <c r="C24" s="76">
        <v>46063</v>
      </c>
      <c r="E24" s="77" t="s">
        <v>285</v>
      </c>
      <c r="F24" s="83">
        <v>0.77</v>
      </c>
      <c r="G24" s="83">
        <v>0.62</v>
      </c>
      <c r="H24" s="83">
        <v>1.39</v>
      </c>
      <c r="I24" s="83">
        <v>0.5</v>
      </c>
      <c r="J24" s="84">
        <v>0.64339999999999997</v>
      </c>
      <c r="K24" s="85">
        <v>0.39</v>
      </c>
      <c r="L24" s="50">
        <v>37.9</v>
      </c>
      <c r="M24" s="50">
        <v>94.53</v>
      </c>
      <c r="N24" s="83">
        <v>96.07</v>
      </c>
      <c r="O24" s="83">
        <v>98.4</v>
      </c>
      <c r="P24" s="50">
        <v>98.81</v>
      </c>
      <c r="Q24" s="83">
        <v>40.090000000000003</v>
      </c>
    </row>
    <row r="25" spans="1:17" hidden="1" x14ac:dyDescent="0.25">
      <c r="A25" s="50" t="s">
        <v>293</v>
      </c>
      <c r="B25" s="76">
        <v>46064</v>
      </c>
      <c r="C25" s="76">
        <v>46070</v>
      </c>
      <c r="E25" s="77" t="s">
        <v>283</v>
      </c>
      <c r="F25" s="78">
        <v>0.81</v>
      </c>
      <c r="G25" s="78">
        <v>0.57999999999999996</v>
      </c>
      <c r="H25" s="78">
        <v>1.4</v>
      </c>
      <c r="I25" s="79">
        <v>0.41</v>
      </c>
      <c r="J25" s="80">
        <v>0.70909999999999995</v>
      </c>
      <c r="K25" s="81">
        <v>0.09</v>
      </c>
      <c r="L25" s="82">
        <v>35.020000000000003</v>
      </c>
      <c r="M25" s="82">
        <v>92.7</v>
      </c>
      <c r="N25" s="79">
        <v>94.62</v>
      </c>
      <c r="O25" s="79">
        <v>97.96</v>
      </c>
      <c r="P25" s="82"/>
      <c r="Q25" s="79">
        <v>37.770000000000003</v>
      </c>
    </row>
    <row r="26" spans="1:17" hidden="1" x14ac:dyDescent="0.25">
      <c r="A26" s="50" t="s">
        <v>293</v>
      </c>
      <c r="B26" s="76">
        <v>46064</v>
      </c>
      <c r="C26" s="76">
        <v>46070</v>
      </c>
      <c r="E26" s="77" t="s">
        <v>285</v>
      </c>
      <c r="F26" s="83">
        <v>0.81</v>
      </c>
      <c r="G26" s="83">
        <v>0.57999999999999996</v>
      </c>
      <c r="H26" s="83">
        <v>1.4</v>
      </c>
      <c r="I26" s="83">
        <v>0.41</v>
      </c>
      <c r="J26" s="84">
        <v>0.70909999999999995</v>
      </c>
      <c r="K26" s="85">
        <v>0.09</v>
      </c>
      <c r="L26" s="50">
        <v>35.020000000000003</v>
      </c>
      <c r="M26" s="50">
        <v>92.7</v>
      </c>
      <c r="N26" s="83">
        <v>94.62</v>
      </c>
      <c r="O26" s="83">
        <v>97.96</v>
      </c>
      <c r="P26" s="50">
        <v>98.61</v>
      </c>
      <c r="Q26" s="83">
        <v>37.770000000000003</v>
      </c>
    </row>
    <row r="27" spans="1:17" hidden="1" x14ac:dyDescent="0.25">
      <c r="A27" s="50" t="s">
        <v>294</v>
      </c>
      <c r="B27" s="76">
        <v>46071</v>
      </c>
      <c r="C27" s="76">
        <v>46077</v>
      </c>
      <c r="E27" s="77" t="s">
        <v>283</v>
      </c>
      <c r="F27" s="78">
        <v>1.4</v>
      </c>
      <c r="G27" s="78">
        <v>3.3</v>
      </c>
      <c r="H27" s="78">
        <v>4.7089999999999996</v>
      </c>
      <c r="I27" s="79">
        <v>3.94</v>
      </c>
      <c r="J27" s="80">
        <v>0.16919999999999999</v>
      </c>
      <c r="K27" s="81">
        <v>0.78</v>
      </c>
      <c r="L27" s="82">
        <v>40.93</v>
      </c>
      <c r="M27" s="82">
        <v>90.96</v>
      </c>
      <c r="N27" s="79">
        <v>92.33</v>
      </c>
      <c r="O27" s="79">
        <v>98.51</v>
      </c>
      <c r="P27" s="82"/>
      <c r="Q27" s="79">
        <v>44.99</v>
      </c>
    </row>
    <row r="28" spans="1:17" hidden="1" x14ac:dyDescent="0.25">
      <c r="A28" s="50" t="s">
        <v>294</v>
      </c>
      <c r="B28" s="76">
        <v>46071</v>
      </c>
      <c r="C28" s="76">
        <v>46077</v>
      </c>
      <c r="E28" s="77" t="s">
        <v>285</v>
      </c>
      <c r="F28" s="83">
        <v>1.4</v>
      </c>
      <c r="G28" s="83">
        <v>3.31</v>
      </c>
      <c r="H28" s="83">
        <v>4.71</v>
      </c>
      <c r="I28" s="83">
        <v>3.94</v>
      </c>
      <c r="J28" s="84">
        <v>0.16919999999999999</v>
      </c>
      <c r="K28" s="85">
        <v>0.78</v>
      </c>
      <c r="L28" s="50">
        <v>40.93</v>
      </c>
      <c r="M28" s="50">
        <v>90.96</v>
      </c>
      <c r="N28" s="83">
        <v>92.33</v>
      </c>
      <c r="O28" s="83">
        <v>98.51</v>
      </c>
      <c r="P28" s="50">
        <v>97.23</v>
      </c>
      <c r="Q28" s="83">
        <v>44.99</v>
      </c>
    </row>
    <row r="29" spans="1:17" hidden="1" x14ac:dyDescent="0.25">
      <c r="A29" s="50" t="s">
        <v>295</v>
      </c>
      <c r="B29" s="76">
        <v>46078</v>
      </c>
      <c r="C29" s="76">
        <v>46084</v>
      </c>
      <c r="E29" s="77" t="s">
        <v>283</v>
      </c>
      <c r="F29" s="78">
        <v>0.74</v>
      </c>
      <c r="G29" s="78">
        <v>0.93</v>
      </c>
      <c r="H29" s="78">
        <v>1.67</v>
      </c>
      <c r="I29" s="79">
        <v>1.26</v>
      </c>
      <c r="J29" s="80">
        <v>0.24890000000000001</v>
      </c>
      <c r="K29" s="81">
        <v>0.05</v>
      </c>
      <c r="L29" s="82">
        <v>33.450000000000003</v>
      </c>
      <c r="M29" s="82">
        <v>93.72</v>
      </c>
      <c r="N29" s="79">
        <v>95.56</v>
      </c>
      <c r="O29" s="79">
        <v>93.72</v>
      </c>
      <c r="P29" s="82"/>
      <c r="Q29" s="79">
        <v>37.340000000000003</v>
      </c>
    </row>
    <row r="30" spans="1:17" hidden="1" x14ac:dyDescent="0.25">
      <c r="A30" s="50" t="s">
        <v>295</v>
      </c>
      <c r="B30" s="76">
        <v>46078</v>
      </c>
      <c r="C30" s="76">
        <v>46084</v>
      </c>
      <c r="E30" s="77" t="s">
        <v>285</v>
      </c>
      <c r="F30" s="83">
        <v>0.74</v>
      </c>
      <c r="G30" s="83">
        <v>0.93</v>
      </c>
      <c r="H30" s="83">
        <v>1.67</v>
      </c>
      <c r="I30" s="83">
        <v>1.26</v>
      </c>
      <c r="J30" s="84">
        <v>0.24890000000000001</v>
      </c>
      <c r="K30" s="85">
        <v>0.05</v>
      </c>
      <c r="L30" s="50">
        <v>33.450000000000003</v>
      </c>
      <c r="M30" s="50">
        <v>89.56</v>
      </c>
      <c r="N30" s="83">
        <v>95.56</v>
      </c>
      <c r="O30" s="83">
        <v>93.72</v>
      </c>
      <c r="P30" s="50">
        <v>94.09</v>
      </c>
      <c r="Q30" s="83">
        <v>37.340000000000003</v>
      </c>
    </row>
    <row r="31" spans="1:17" hidden="1" x14ac:dyDescent="0.25">
      <c r="A31" s="50" t="s">
        <v>296</v>
      </c>
      <c r="B31" s="76">
        <v>46085</v>
      </c>
      <c r="C31" s="76">
        <v>46091</v>
      </c>
      <c r="E31" s="77" t="s">
        <v>283</v>
      </c>
      <c r="F31" s="78">
        <v>0.84</v>
      </c>
      <c r="G31" s="78">
        <v>0.65</v>
      </c>
      <c r="H31" s="78">
        <v>1.49</v>
      </c>
      <c r="I31" s="79">
        <v>0.6</v>
      </c>
      <c r="J31" s="80">
        <v>0.60409999999999997</v>
      </c>
      <c r="K31" s="81">
        <v>1.29</v>
      </c>
      <c r="L31" s="82">
        <v>35.159999999999997</v>
      </c>
      <c r="M31" s="82">
        <v>91.44</v>
      </c>
      <c r="N31" s="79">
        <v>90.14</v>
      </c>
      <c r="O31" s="79">
        <v>101.44</v>
      </c>
      <c r="P31" s="82"/>
      <c r="Q31" s="79">
        <v>38.44</v>
      </c>
    </row>
    <row r="32" spans="1:17" hidden="1" x14ac:dyDescent="0.25">
      <c r="A32" s="50" t="s">
        <v>296</v>
      </c>
      <c r="B32" s="76">
        <v>46085</v>
      </c>
      <c r="C32" s="76">
        <v>46091</v>
      </c>
      <c r="E32" s="77" t="s">
        <v>285</v>
      </c>
      <c r="F32" s="83">
        <v>0.84</v>
      </c>
      <c r="G32" s="83">
        <v>0.59</v>
      </c>
      <c r="H32" s="83">
        <v>1.43</v>
      </c>
      <c r="I32" s="83">
        <v>0.53</v>
      </c>
      <c r="J32" s="84">
        <v>0.63070000000000004</v>
      </c>
      <c r="K32" s="85">
        <v>1.34</v>
      </c>
      <c r="L32" s="50">
        <v>35.159999999999997</v>
      </c>
      <c r="M32" s="50">
        <v>94.7</v>
      </c>
      <c r="N32" s="83">
        <v>93.35</v>
      </c>
      <c r="O32" s="83">
        <v>101.44</v>
      </c>
      <c r="P32" s="50">
        <v>98.89</v>
      </c>
      <c r="Q32" s="83">
        <v>37.130000000000003</v>
      </c>
    </row>
    <row r="33" spans="1:17" hidden="1" x14ac:dyDescent="0.25">
      <c r="A33" s="50" t="s">
        <v>297</v>
      </c>
      <c r="B33" s="76">
        <v>46092</v>
      </c>
      <c r="C33" s="76">
        <v>46098</v>
      </c>
      <c r="E33" s="77" t="s">
        <v>283</v>
      </c>
      <c r="F33" s="78"/>
      <c r="G33" s="78"/>
      <c r="H33" s="78"/>
      <c r="I33" s="79"/>
      <c r="J33" s="80"/>
      <c r="K33" s="81"/>
      <c r="L33" s="82"/>
      <c r="M33" s="82"/>
      <c r="N33" s="79"/>
      <c r="O33" s="79"/>
      <c r="P33" s="82"/>
      <c r="Q33" s="82"/>
    </row>
    <row r="34" spans="1:17" hidden="1" x14ac:dyDescent="0.25">
      <c r="A34" s="50" t="s">
        <v>297</v>
      </c>
      <c r="B34" s="76">
        <v>46092</v>
      </c>
      <c r="C34" s="76">
        <v>46098</v>
      </c>
      <c r="E34" s="77" t="s">
        <v>285</v>
      </c>
      <c r="F34" s="83"/>
      <c r="G34" s="83"/>
      <c r="H34" s="83"/>
      <c r="I34" s="83"/>
      <c r="J34" s="84"/>
      <c r="K34" s="85"/>
      <c r="N34" s="83"/>
      <c r="O34" s="83"/>
      <c r="Q34" s="83"/>
    </row>
    <row r="35" spans="1:17" hidden="1" x14ac:dyDescent="0.25">
      <c r="A35" s="50" t="s">
        <v>298</v>
      </c>
      <c r="B35" s="76">
        <v>46099</v>
      </c>
      <c r="C35" s="76">
        <v>46105</v>
      </c>
    </row>
    <row r="36" spans="1:17" hidden="1" x14ac:dyDescent="0.25">
      <c r="A36" s="50" t="s">
        <v>299</v>
      </c>
      <c r="B36" s="76">
        <v>46106</v>
      </c>
      <c r="C36" s="76">
        <v>46112</v>
      </c>
    </row>
    <row r="37" spans="1:17" hidden="1" x14ac:dyDescent="0.25">
      <c r="A37" s="50" t="s">
        <v>300</v>
      </c>
      <c r="B37" s="76">
        <v>46113</v>
      </c>
      <c r="C37" s="76">
        <v>46119</v>
      </c>
    </row>
    <row r="38" spans="1:17" hidden="1" x14ac:dyDescent="0.25">
      <c r="A38" s="50" t="s">
        <v>301</v>
      </c>
      <c r="B38" s="76">
        <v>46120</v>
      </c>
      <c r="C38" s="76">
        <v>46126</v>
      </c>
    </row>
    <row r="39" spans="1:17" hidden="1" x14ac:dyDescent="0.25">
      <c r="A39" s="50" t="s">
        <v>302</v>
      </c>
      <c r="B39" s="76">
        <v>46127</v>
      </c>
      <c r="C39" s="76">
        <v>46133</v>
      </c>
    </row>
    <row r="40" spans="1:17" hidden="1" x14ac:dyDescent="0.25">
      <c r="A40" s="50" t="s">
        <v>303</v>
      </c>
      <c r="B40" s="76">
        <v>46134</v>
      </c>
      <c r="C40" s="76">
        <v>46140</v>
      </c>
    </row>
    <row r="41" spans="1:17" hidden="1" x14ac:dyDescent="0.25">
      <c r="A41" s="50" t="s">
        <v>304</v>
      </c>
      <c r="B41" s="76">
        <v>46141</v>
      </c>
      <c r="C41" s="76">
        <v>46147</v>
      </c>
    </row>
    <row r="42" spans="1:17" hidden="1" x14ac:dyDescent="0.25">
      <c r="A42" s="50" t="s">
        <v>305</v>
      </c>
      <c r="B42" s="76">
        <v>46148</v>
      </c>
      <c r="C42" s="76">
        <v>46154</v>
      </c>
    </row>
    <row r="43" spans="1:17" hidden="1" x14ac:dyDescent="0.25">
      <c r="A43" s="50" t="s">
        <v>306</v>
      </c>
      <c r="B43" s="76">
        <v>46155</v>
      </c>
      <c r="C43" s="76">
        <v>46161</v>
      </c>
    </row>
    <row r="44" spans="1:17" hidden="1" x14ac:dyDescent="0.25">
      <c r="A44" s="50" t="s">
        <v>307</v>
      </c>
      <c r="B44" s="76">
        <v>46162</v>
      </c>
      <c r="C44" s="76">
        <v>46168</v>
      </c>
    </row>
    <row r="45" spans="1:17" hidden="1" x14ac:dyDescent="0.25">
      <c r="A45" s="50" t="s">
        <v>308</v>
      </c>
      <c r="B45" s="76">
        <v>46169</v>
      </c>
      <c r="C45" s="76">
        <v>46175</v>
      </c>
    </row>
    <row r="46" spans="1:17" hidden="1" x14ac:dyDescent="0.25">
      <c r="A46" s="50" t="s">
        <v>309</v>
      </c>
      <c r="B46" s="76">
        <v>46176</v>
      </c>
      <c r="C46" s="76">
        <v>46182</v>
      </c>
    </row>
    <row r="47" spans="1:17" hidden="1" x14ac:dyDescent="0.25">
      <c r="A47" s="50" t="s">
        <v>310</v>
      </c>
      <c r="B47" s="76">
        <v>46183</v>
      </c>
      <c r="C47" s="76">
        <v>46189</v>
      </c>
    </row>
    <row r="48" spans="1:17" hidden="1" x14ac:dyDescent="0.25">
      <c r="A48" s="50" t="s">
        <v>311</v>
      </c>
      <c r="B48" s="76">
        <v>46190</v>
      </c>
      <c r="C48" s="76">
        <v>46196</v>
      </c>
    </row>
    <row r="49" spans="1:3" hidden="1" x14ac:dyDescent="0.25">
      <c r="A49" s="50" t="s">
        <v>312</v>
      </c>
      <c r="B49" s="76">
        <v>46197</v>
      </c>
      <c r="C49" s="76">
        <v>46203</v>
      </c>
    </row>
    <row r="50" spans="1:3" hidden="1" x14ac:dyDescent="0.25">
      <c r="A50" s="50" t="s">
        <v>313</v>
      </c>
      <c r="B50" s="76">
        <v>46204</v>
      </c>
      <c r="C50" s="76">
        <v>46210</v>
      </c>
    </row>
    <row r="51" spans="1:3" hidden="1" x14ac:dyDescent="0.25">
      <c r="A51" s="50" t="s">
        <v>314</v>
      </c>
      <c r="B51" s="76">
        <v>46211</v>
      </c>
      <c r="C51" s="76">
        <v>46217</v>
      </c>
    </row>
    <row r="52" spans="1:3" hidden="1" x14ac:dyDescent="0.25">
      <c r="A52" s="50" t="s">
        <v>315</v>
      </c>
      <c r="B52" s="76">
        <v>46218</v>
      </c>
      <c r="C52" s="76">
        <v>46224</v>
      </c>
    </row>
    <row r="53" spans="1:3" hidden="1" x14ac:dyDescent="0.25">
      <c r="A53" s="50" t="s">
        <v>316</v>
      </c>
      <c r="B53" s="76">
        <v>46225</v>
      </c>
      <c r="C53" s="76">
        <v>46231</v>
      </c>
    </row>
    <row r="54" spans="1:3" hidden="1" x14ac:dyDescent="0.25">
      <c r="A54" s="50" t="s">
        <v>317</v>
      </c>
      <c r="B54" s="76">
        <v>46232</v>
      </c>
      <c r="C54" s="76">
        <v>46238</v>
      </c>
    </row>
    <row r="55" spans="1:3" hidden="1" x14ac:dyDescent="0.25">
      <c r="A55" s="50" t="s">
        <v>318</v>
      </c>
      <c r="B55" s="76">
        <v>46239</v>
      </c>
      <c r="C55" s="76">
        <v>46245</v>
      </c>
    </row>
    <row r="56" spans="1:3" hidden="1" x14ac:dyDescent="0.25">
      <c r="A56" s="50" t="s">
        <v>319</v>
      </c>
      <c r="B56" s="76">
        <v>46246</v>
      </c>
      <c r="C56" s="76">
        <v>46252</v>
      </c>
    </row>
    <row r="57" spans="1:3" hidden="1" x14ac:dyDescent="0.25">
      <c r="A57" s="50" t="s">
        <v>320</v>
      </c>
      <c r="B57" s="76">
        <v>46253</v>
      </c>
      <c r="C57" s="76">
        <v>46259</v>
      </c>
    </row>
    <row r="58" spans="1:3" hidden="1" x14ac:dyDescent="0.25">
      <c r="A58" s="50" t="s">
        <v>321</v>
      </c>
      <c r="B58" s="76">
        <v>46260</v>
      </c>
      <c r="C58" s="76">
        <v>46266</v>
      </c>
    </row>
    <row r="59" spans="1:3" hidden="1" x14ac:dyDescent="0.25">
      <c r="A59" s="50" t="s">
        <v>322</v>
      </c>
      <c r="B59" s="76">
        <v>46267</v>
      </c>
      <c r="C59" s="76">
        <v>46273</v>
      </c>
    </row>
    <row r="60" spans="1:3" hidden="1" x14ac:dyDescent="0.25">
      <c r="A60" s="50" t="s">
        <v>323</v>
      </c>
      <c r="B60" s="76">
        <v>46274</v>
      </c>
      <c r="C60" s="76">
        <v>46280</v>
      </c>
    </row>
    <row r="61" spans="1:3" hidden="1" x14ac:dyDescent="0.25">
      <c r="A61" s="50" t="s">
        <v>324</v>
      </c>
      <c r="B61" s="76">
        <v>46281</v>
      </c>
      <c r="C61" s="76">
        <v>46287</v>
      </c>
    </row>
    <row r="62" spans="1:3" hidden="1" x14ac:dyDescent="0.25">
      <c r="A62" s="50" t="s">
        <v>325</v>
      </c>
      <c r="B62" s="76">
        <v>46288</v>
      </c>
      <c r="C62" s="76">
        <v>46294</v>
      </c>
    </row>
    <row r="63" spans="1:3" hidden="1" x14ac:dyDescent="0.25">
      <c r="A63" s="50" t="s">
        <v>326</v>
      </c>
      <c r="B63" s="76">
        <v>46295</v>
      </c>
      <c r="C63" s="76">
        <v>46301</v>
      </c>
    </row>
    <row r="64" spans="1:3" hidden="1" x14ac:dyDescent="0.25">
      <c r="A64" s="50" t="s">
        <v>327</v>
      </c>
      <c r="B64" s="76">
        <v>46302</v>
      </c>
      <c r="C64" s="76">
        <v>46308</v>
      </c>
    </row>
    <row r="65" spans="1:3" hidden="1" x14ac:dyDescent="0.25">
      <c r="A65" s="50" t="s">
        <v>328</v>
      </c>
      <c r="B65" s="76">
        <v>46309</v>
      </c>
      <c r="C65" s="76">
        <v>46315</v>
      </c>
    </row>
    <row r="66" spans="1:3" hidden="1" x14ac:dyDescent="0.25">
      <c r="A66" s="50" t="s">
        <v>329</v>
      </c>
      <c r="B66" s="76">
        <v>46316</v>
      </c>
      <c r="C66" s="76">
        <v>46322</v>
      </c>
    </row>
    <row r="67" spans="1:3" hidden="1" x14ac:dyDescent="0.25">
      <c r="A67" s="50" t="s">
        <v>330</v>
      </c>
      <c r="B67" s="76">
        <v>46323</v>
      </c>
      <c r="C67" s="76">
        <v>46329</v>
      </c>
    </row>
    <row r="68" spans="1:3" hidden="1" x14ac:dyDescent="0.25">
      <c r="A68" s="50" t="s">
        <v>331</v>
      </c>
      <c r="B68" s="76">
        <v>46330</v>
      </c>
      <c r="C68" s="76">
        <v>46336</v>
      </c>
    </row>
    <row r="69" spans="1:3" hidden="1" x14ac:dyDescent="0.25">
      <c r="A69" s="50" t="s">
        <v>332</v>
      </c>
      <c r="B69" s="76">
        <v>46337</v>
      </c>
      <c r="C69" s="76">
        <v>46343</v>
      </c>
    </row>
    <row r="70" spans="1:3" hidden="1" x14ac:dyDescent="0.25">
      <c r="A70" s="50" t="s">
        <v>333</v>
      </c>
      <c r="B70" s="76">
        <v>46344</v>
      </c>
      <c r="C70" s="76">
        <v>46350</v>
      </c>
    </row>
    <row r="71" spans="1:3" hidden="1" x14ac:dyDescent="0.25">
      <c r="A71" s="50" t="s">
        <v>334</v>
      </c>
      <c r="B71" s="76">
        <v>46351</v>
      </c>
      <c r="C71" s="76">
        <v>46357</v>
      </c>
    </row>
    <row r="72" spans="1:3" hidden="1" x14ac:dyDescent="0.25">
      <c r="A72" s="50" t="s">
        <v>335</v>
      </c>
      <c r="B72" s="76">
        <v>46358</v>
      </c>
      <c r="C72" s="76">
        <v>46364</v>
      </c>
    </row>
    <row r="73" spans="1:3" hidden="1" x14ac:dyDescent="0.25">
      <c r="A73" s="50" t="s">
        <v>336</v>
      </c>
      <c r="B73" s="76">
        <v>46365</v>
      </c>
      <c r="C73" s="76">
        <v>46371</v>
      </c>
    </row>
    <row r="74" spans="1:3" hidden="1" x14ac:dyDescent="0.25">
      <c r="A74" s="50" t="s">
        <v>337</v>
      </c>
      <c r="B74" s="76">
        <v>46372</v>
      </c>
      <c r="C74" s="76">
        <v>46378</v>
      </c>
    </row>
    <row r="75" spans="1:3" hidden="1" x14ac:dyDescent="0.25">
      <c r="A75" s="50" t="s">
        <v>338</v>
      </c>
      <c r="B75" s="76">
        <v>46379</v>
      </c>
      <c r="C75" s="76">
        <v>46385</v>
      </c>
    </row>
    <row r="76" spans="1:3" hidden="1" x14ac:dyDescent="0.25">
      <c r="A76" s="50" t="s">
        <v>339</v>
      </c>
      <c r="B76" s="76">
        <v>46386</v>
      </c>
      <c r="C76" s="76">
        <v>46392</v>
      </c>
    </row>
  </sheetData>
  <mergeCells count="5">
    <mergeCell ref="B5:C5"/>
    <mergeCell ref="B7:B11"/>
    <mergeCell ref="C7:C11"/>
    <mergeCell ref="A7:A11"/>
    <mergeCell ref="D1:D1048576"/>
  </mergeCells>
  <phoneticPr fontId="13" type="noConversion"/>
  <conditionalFormatting sqref="F13:F76">
    <cfRule type="cellIs" dxfId="49" priority="215" operator="lessThanOrEqual">
      <formula>1.06</formula>
    </cfRule>
    <cfRule type="cellIs" dxfId="48" priority="216" operator="greaterThan">
      <formula>1.06</formula>
    </cfRule>
  </conditionalFormatting>
  <conditionalFormatting sqref="F10:I10">
    <cfRule type="expression" dxfId="47" priority="177">
      <formula>F10&lt;=F6</formula>
    </cfRule>
    <cfRule type="expression" dxfId="46" priority="178">
      <formula>F10&gt;F6</formula>
    </cfRule>
  </conditionalFormatting>
  <conditionalFormatting sqref="F11:I11">
    <cfRule type="expression" dxfId="45" priority="201">
      <formula>F11&lt;=F6</formula>
    </cfRule>
    <cfRule type="expression" dxfId="44" priority="202">
      <formula>F11&gt;F6</formula>
    </cfRule>
  </conditionalFormatting>
  <conditionalFormatting sqref="G13:G76">
    <cfRule type="cellIs" dxfId="43" priority="217" operator="lessThanOrEqual">
      <formula>0.82</formula>
    </cfRule>
    <cfRule type="cellIs" dxfId="42" priority="218" operator="greaterThan">
      <formula>0.82</formula>
    </cfRule>
  </conditionalFormatting>
  <conditionalFormatting sqref="H13:H76">
    <cfRule type="cellIs" dxfId="41" priority="219" operator="lessThanOrEqual">
      <formula>1.89</formula>
    </cfRule>
    <cfRule type="cellIs" dxfId="40" priority="220" operator="greaterThan">
      <formula>1.89</formula>
    </cfRule>
  </conditionalFormatting>
  <conditionalFormatting sqref="I13:I76">
    <cfRule type="cellIs" dxfId="39" priority="221" operator="lessThanOrEqual">
      <formula>1.3</formula>
    </cfRule>
    <cfRule type="cellIs" dxfId="38" priority="222" operator="greaterThan">
      <formula>1.3</formula>
    </cfRule>
  </conditionalFormatting>
  <conditionalFormatting sqref="J10">
    <cfRule type="expression" dxfId="37" priority="187">
      <formula>J10&gt;=J6</formula>
    </cfRule>
    <cfRule type="expression" dxfId="36" priority="188">
      <formula>J10&lt;J6</formula>
    </cfRule>
  </conditionalFormatting>
  <conditionalFormatting sqref="J11">
    <cfRule type="expression" dxfId="35" priority="209">
      <formula>J11&gt;=J6</formula>
    </cfRule>
    <cfRule type="expression" dxfId="34" priority="210">
      <formula>J11&lt;J6</formula>
    </cfRule>
  </conditionalFormatting>
  <conditionalFormatting sqref="J13:J76">
    <cfRule type="cellIs" dxfId="33" priority="223" operator="greaterThanOrEqual">
      <formula>0.38</formula>
    </cfRule>
    <cfRule type="cellIs" dxfId="32" priority="224" operator="lessThan">
      <formula>0.38</formula>
    </cfRule>
  </conditionalFormatting>
  <conditionalFormatting sqref="K10">
    <cfRule type="expression" dxfId="31" priority="185">
      <formula>K10&lt;=K6</formula>
    </cfRule>
    <cfRule type="expression" dxfId="30" priority="186">
      <formula>K10&gt;K6</formula>
    </cfRule>
  </conditionalFormatting>
  <conditionalFormatting sqref="K11">
    <cfRule type="expression" dxfId="29" priority="211">
      <formula>K11&lt;=K6</formula>
    </cfRule>
    <cfRule type="expression" dxfId="28" priority="212">
      <formula>K11&gt;K6</formula>
    </cfRule>
  </conditionalFormatting>
  <conditionalFormatting sqref="K13:K76">
    <cfRule type="cellIs" dxfId="27" priority="225" operator="lessThanOrEqual">
      <formula>1.49</formula>
    </cfRule>
    <cfRule type="cellIs" dxfId="26" priority="226" operator="greaterThan">
      <formula>1.49</formula>
    </cfRule>
  </conditionalFormatting>
  <conditionalFormatting sqref="L13:L76">
    <cfRule type="cellIs" dxfId="25" priority="227" operator="greaterThanOrEqual">
      <formula>32.6</formula>
    </cfRule>
    <cfRule type="cellIs" dxfId="24" priority="228" operator="lessThan">
      <formula>32.6</formula>
    </cfRule>
  </conditionalFormatting>
  <conditionalFormatting sqref="L10:Q10">
    <cfRule type="expression" dxfId="23" priority="189">
      <formula>L10&gt;=L6</formula>
    </cfRule>
    <cfRule type="expression" dxfId="22" priority="190">
      <formula>L10&lt;L6</formula>
    </cfRule>
  </conditionalFormatting>
  <conditionalFormatting sqref="L11:Q11">
    <cfRule type="expression" dxfId="21" priority="213">
      <formula>L11&gt;=L6</formula>
    </cfRule>
    <cfRule type="expression" dxfId="20" priority="214">
      <formula>L11&lt;L6</formula>
    </cfRule>
  </conditionalFormatting>
  <conditionalFormatting sqref="M13:M76">
    <cfRule type="cellIs" dxfId="19" priority="229" operator="greaterThanOrEqual">
      <formula>92</formula>
    </cfRule>
    <cfRule type="cellIs" dxfId="18" priority="230" operator="lessThan">
      <formula>92</formula>
    </cfRule>
  </conditionalFormatting>
  <conditionalFormatting sqref="N13:N76">
    <cfRule type="cellIs" dxfId="17" priority="231" operator="greaterThanOrEqual">
      <formula>86</formula>
    </cfRule>
    <cfRule type="cellIs" dxfId="16" priority="232" operator="lessThan">
      <formula>86</formula>
    </cfRule>
  </conditionalFormatting>
  <conditionalFormatting sqref="O13:O76">
    <cfRule type="cellIs" dxfId="15" priority="233" operator="greaterThanOrEqual">
      <formula>97.5</formula>
    </cfRule>
    <cfRule type="cellIs" dxfId="14" priority="234" operator="lessThan">
      <formula>97.5</formula>
    </cfRule>
  </conditionalFormatting>
  <conditionalFormatting sqref="P13:P76">
    <cfRule type="cellIs" dxfId="13" priority="235" operator="greaterThanOrEqual">
      <formula>95</formula>
    </cfRule>
    <cfRule type="cellIs" dxfId="12" priority="236" operator="lessThan">
      <formula>95</formula>
    </cfRule>
  </conditionalFormatting>
  <conditionalFormatting sqref="Q13:Q76">
    <cfRule type="cellIs" dxfId="11" priority="237" operator="greaterThanOrEqual">
      <formula>50</formula>
    </cfRule>
    <cfRule type="cellIs" dxfId="10" priority="238" operator="lessThan">
      <formula>50</formula>
    </cfRule>
  </conditionalFormatting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1E20E-0CC7-4D3B-BEAC-FC5E0306F280}">
  <dimension ref="A1:U63"/>
  <sheetViews>
    <sheetView showGridLines="0" zoomScale="70" zoomScaleNormal="70" workbookViewId="0">
      <selection activeCell="A17" sqref="A17"/>
    </sheetView>
  </sheetViews>
  <sheetFormatPr baseColWidth="10" defaultColWidth="10.625" defaultRowHeight="15.75" x14ac:dyDescent="0.25"/>
  <cols>
    <col min="1" max="1" width="25.625" style="94" bestFit="1" customWidth="1"/>
    <col min="2" max="2" width="11" style="94" customWidth="1"/>
    <col min="3" max="3" width="11.625" style="94" customWidth="1"/>
    <col min="4" max="4" width="13" style="94" customWidth="1"/>
    <col min="5" max="5" width="16.75" style="94" bestFit="1" customWidth="1"/>
    <col min="6" max="6" width="16.25" style="94" bestFit="1" customWidth="1"/>
    <col min="7" max="7" width="10.375" style="94" customWidth="1"/>
    <col min="8" max="8" width="29.625" style="94" bestFit="1" customWidth="1"/>
    <col min="9" max="9" width="2.5" style="94" customWidth="1"/>
    <col min="10" max="13" width="10.375" style="94" customWidth="1"/>
    <col min="14" max="14" width="6.625" style="94" bestFit="1" customWidth="1"/>
    <col min="15" max="15" width="13.625" style="94" bestFit="1" customWidth="1"/>
    <col min="16" max="16" width="7.5" style="94" bestFit="1" customWidth="1"/>
    <col min="17" max="17" width="39" style="94" bestFit="1" customWidth="1"/>
    <col min="18" max="18" width="13.5" style="94" bestFit="1" customWidth="1"/>
    <col min="19" max="19" width="13.375" style="94" bestFit="1" customWidth="1"/>
    <col min="20" max="20" width="14.125" style="94" bestFit="1" customWidth="1"/>
    <col min="21" max="21" width="7.875" style="94" bestFit="1" customWidth="1"/>
    <col min="22" max="16384" width="10.625" style="94"/>
  </cols>
  <sheetData>
    <row r="1" spans="1:21" ht="30" customHeight="1" x14ac:dyDescent="0.25">
      <c r="A1" s="139" t="s">
        <v>346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</row>
    <row r="2" spans="1:21" x14ac:dyDescent="0.25">
      <c r="A2" s="140" t="s">
        <v>378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94" t="s">
        <v>388</v>
      </c>
      <c r="O2" s="94" t="s">
        <v>35</v>
      </c>
      <c r="P2" s="94" t="s">
        <v>371</v>
      </c>
      <c r="Q2" s="94" t="s">
        <v>37</v>
      </c>
      <c r="R2" s="94" t="s">
        <v>389</v>
      </c>
      <c r="S2" s="94" t="s">
        <v>390</v>
      </c>
      <c r="T2" s="94" t="s">
        <v>391</v>
      </c>
      <c r="U2" s="94" t="s">
        <v>392</v>
      </c>
    </row>
    <row r="3" spans="1:21" x14ac:dyDescent="0.25">
      <c r="A3" s="143" t="str">
        <f>COUNTIF($F$8:$F$19,"CUMPLE")&amp;"/11"</f>
        <v>9/11</v>
      </c>
      <c r="B3" s="143"/>
      <c r="C3" s="143"/>
      <c r="D3" s="144">
        <f>SUMIFS(PT!$Q:$Q,PT!$B:$B,"PLANTA",PT!$C:$C,"Total")</f>
        <v>1466.78</v>
      </c>
      <c r="E3" s="144"/>
      <c r="F3" s="144"/>
      <c r="G3" s="141">
        <f>SUMIFS(PT!$R:$R,PT!$B:$B,"PLANTA",PT!$C:$C,"Total")/100</f>
        <v>1.376E-2</v>
      </c>
      <c r="H3" s="141"/>
      <c r="I3" s="141"/>
      <c r="J3" s="141">
        <f>INDEX('OEE2'!$R:$R,MATCH("Total",'OEE2'!$D:$D,0))/100</f>
        <v>0.3538</v>
      </c>
      <c r="K3" s="141"/>
      <c r="L3" s="141"/>
      <c r="M3" s="141"/>
      <c r="N3" s="94">
        <f>ROW(PT!B3)</f>
        <v>3</v>
      </c>
      <c r="O3" s="94" t="str">
        <f>PT!B3</f>
        <v>PAN BOLLERIA</v>
      </c>
      <c r="P3" s="94">
        <f>PT!C3</f>
        <v>987</v>
      </c>
      <c r="Q3" s="94" t="str">
        <f>PT!D3</f>
        <v>Pan Super Perro 1p 405g Bolsa BIM</v>
      </c>
      <c r="R3" s="94">
        <f>N(PT!Q3)</f>
        <v>47</v>
      </c>
      <c r="S3" s="94">
        <f>N(PT!R3)/100</f>
        <v>5.7179000000000001E-2</v>
      </c>
      <c r="T3" s="94">
        <f>--AND(P3&lt;&gt;"",P3&lt;&gt;"Total",O3&lt;&gt;"",R3&gt;0)</f>
        <v>1</v>
      </c>
      <c r="U3" s="94" cm="1">
        <f t="array" ref="U3">IF(T3=1,SUMPRODUCT(($T$3:$T$56=1)*($R$3:$R$56&gt;R3))+COUNTIFS($T$3:T3,1,$R$3:R3,R3),"")</f>
        <v>11</v>
      </c>
    </row>
    <row r="4" spans="1:21" x14ac:dyDescent="0.25">
      <c r="A4" s="142" t="s">
        <v>347</v>
      </c>
      <c r="B4" s="142"/>
      <c r="C4" s="142"/>
      <c r="D4" s="142" t="s">
        <v>348</v>
      </c>
      <c r="E4" s="142"/>
      <c r="F4" s="142"/>
      <c r="G4" s="142" t="s">
        <v>349</v>
      </c>
      <c r="H4" s="142"/>
      <c r="I4" s="142"/>
      <c r="J4" s="142" t="s">
        <v>350</v>
      </c>
      <c r="K4" s="142"/>
      <c r="L4" s="142"/>
      <c r="M4" s="142"/>
      <c r="N4" s="94">
        <f>ROW(PT!B4)</f>
        <v>4</v>
      </c>
      <c r="O4" s="94" t="str">
        <f>PT!B4</f>
        <v>PAN BOLLERIA</v>
      </c>
      <c r="P4" s="94">
        <f>PT!C4</f>
        <v>23618</v>
      </c>
      <c r="Q4" s="94" t="str">
        <f>PT!D4</f>
        <v>Pan Integral 1p 650g Bolsa BIM</v>
      </c>
      <c r="R4" s="94">
        <f>N(PT!Q4)</f>
        <v>13</v>
      </c>
      <c r="S4" s="94">
        <f>N(PT!R4)/100</f>
        <v>4.4200000000000003E-3</v>
      </c>
      <c r="T4" s="94">
        <f t="shared" ref="T4:T56" si="0">--AND(P4&lt;&gt;"",P4&lt;&gt;"Total",O4&lt;&gt;"",R4&gt;0)</f>
        <v>1</v>
      </c>
      <c r="U4" s="94" cm="1">
        <f t="array" ref="U4">IF(T4=1,SUMPRODUCT(($T$3:$T$56=1)*($R$3:$R$56&gt;R4))+COUNTIFS($T$3:T4,1,$R$3:R4,R4),"")</f>
        <v>19</v>
      </c>
    </row>
    <row r="5" spans="1:21" x14ac:dyDescent="0.25">
      <c r="N5" s="94">
        <f>ROW(PT!B5)</f>
        <v>5</v>
      </c>
      <c r="O5" s="94" t="str">
        <f>PT!B5</f>
        <v>PAN BOLLERIA</v>
      </c>
      <c r="P5" s="94">
        <f>PT!C5</f>
        <v>23901</v>
      </c>
      <c r="Q5" s="94" t="str">
        <f>PT!D5</f>
        <v>Pan Vital Fruticereal 1p 500g Bolsa BIM</v>
      </c>
      <c r="R5" s="94">
        <f>N(PT!Q5)</f>
        <v>138.5</v>
      </c>
      <c r="S5" s="94">
        <f>N(PT!R5)/100</f>
        <v>8.959099999999999E-2</v>
      </c>
      <c r="T5" s="94">
        <f t="shared" si="0"/>
        <v>1</v>
      </c>
      <c r="U5" s="94" cm="1">
        <f t="array" ref="U5">IF(T5=1,SUMPRODUCT(($T$3:$T$56=1)*($R$3:$R$56&gt;R5))+COUNTIFS($T$3:T5,1,$R$3:R5,R5),"")</f>
        <v>4</v>
      </c>
    </row>
    <row r="6" spans="1:21" ht="20.100000000000001" customHeight="1" x14ac:dyDescent="0.25">
      <c r="A6" s="135" t="s">
        <v>351</v>
      </c>
      <c r="B6" s="135"/>
      <c r="C6" s="135"/>
      <c r="D6" s="135"/>
      <c r="E6" s="135"/>
      <c r="F6" s="135"/>
      <c r="H6" s="135" t="s">
        <v>352</v>
      </c>
      <c r="I6" s="135"/>
      <c r="J6" s="135"/>
      <c r="K6" s="135"/>
      <c r="L6" s="135"/>
      <c r="M6" s="135"/>
      <c r="N6" s="94">
        <f>ROW(PT!B6)</f>
        <v>6</v>
      </c>
      <c r="O6" s="94" t="str">
        <f>PT!B6</f>
        <v>PAN BOLLERIA</v>
      </c>
      <c r="P6" s="94">
        <f>PT!C6</f>
        <v>26405</v>
      </c>
      <c r="Q6" s="94" t="str">
        <f>PT!D6</f>
        <v>Duopack Pan Integral 1p 1300g Bolsa BIM</v>
      </c>
      <c r="R6" s="94">
        <f>N(PT!Q6)</f>
        <v>0</v>
      </c>
      <c r="S6" s="94">
        <f>N(PT!R6)/100</f>
        <v>0</v>
      </c>
      <c r="T6" s="94">
        <f t="shared" si="0"/>
        <v>0</v>
      </c>
      <c r="U6" s="94" t="str" cm="1">
        <f t="array" ref="U6">IF(T6=1,SUMPRODUCT(($T$3:$T$56=1)*($R$3:$R$56&gt;R6))+COUNTIFS($T$3:T6,1,$R$3:R6,R6),"")</f>
        <v/>
      </c>
    </row>
    <row r="7" spans="1:21" ht="18" customHeight="1" x14ac:dyDescent="0.25">
      <c r="A7" s="95" t="s">
        <v>354</v>
      </c>
      <c r="B7" s="95" t="s">
        <v>355</v>
      </c>
      <c r="C7" s="95" t="s">
        <v>356</v>
      </c>
      <c r="D7" s="95" t="s">
        <v>357</v>
      </c>
      <c r="E7" s="95" t="s">
        <v>358</v>
      </c>
      <c r="F7" s="95" t="s">
        <v>359</v>
      </c>
      <c r="H7" s="145" t="str">
        <f>COUNTIF($F$8:$F$19,"CUMPLE")&amp;" de 11 KPI evaluables cumplen la meta. El desperdicio total es "&amp;TEXT($B$10,"0.00%")&amp;" frente a "&amp;TEXT($C$10,"0.00%")&amp;"; las bajas están en "&amp;TEXT($B$8,"0.00%")&amp;" frente a "&amp;TEXT($C$8,"0.00%")&amp;". Panquelería concentra "&amp;TEXT($C$46/$C$48,"0.0%")&amp;" del desperdicio y el producto "&amp;$C$36&amp;" aporta "&amp;TEXT($E$36,"0.0")&amp;" kg. La capacidad utilizada es "&amp;TEXT($B$19,"0.0%")&amp;" frente a "&amp;TEXT($C$19,"0.0%")&amp;", con "&amp;TEXT('OEE2'!F6,"0.00")&amp;" h sin pedido. Sin clasificar total: "&amp;TEXT('OEE2'!P6,"0.00")&amp;" h ("&amp;IF('OEE2'!P6=0,"CUMPLE","ALERTA")&amp;"). Pan bollería registra OEE2 de "&amp;TEXT($D$23,"0.0%")&amp;" frente a su meta de "&amp;TEXT(RESUMEN!M7/100,"0.0%")&amp;". Fill Rate no se evalúa por falta de resultado en PT/OEE2."</f>
        <v>9 de 11 KPI evaluables cumplen la meta. El desperdicio total es 1.38% frente a 1.89%; las bajas están en 0.81% frente a 1.06%. Panquelería concentra 17.8% del desperdicio y el producto 26475 aporta 185.9 kg. La capacidad utilizada es 35.4% frente a 50.0%, con 315.53 h sin pedido. Sin clasificar total: 0.00 h (CUMPLE). Pan bollería registra OEE2 de 86.4% frente a su meta de 84.0%. Fill Rate no se evalúa por falta de resultado en PT/OEE2.</v>
      </c>
      <c r="I7" s="145"/>
      <c r="J7" s="145"/>
      <c r="K7" s="145"/>
      <c r="L7" s="145"/>
      <c r="M7" s="145"/>
      <c r="N7" s="94">
        <f>ROW(PT!B7)</f>
        <v>7</v>
      </c>
      <c r="O7" s="94" t="str">
        <f>PT!B7</f>
        <v>PAN BOLLERIA</v>
      </c>
      <c r="P7" s="94">
        <f>PT!C7</f>
        <v>26474</v>
      </c>
      <c r="Q7" s="94" t="str">
        <f>PT!D7</f>
        <v>Pan Leche 1p 550g Bolsa LAL</v>
      </c>
      <c r="R7" s="94">
        <f>N(PT!Q7)</f>
        <v>94.56</v>
      </c>
      <c r="S7" s="94">
        <f>N(PT!R7)/100</f>
        <v>7.3429000000000008E-2</v>
      </c>
      <c r="T7" s="94">
        <f t="shared" si="0"/>
        <v>1</v>
      </c>
      <c r="U7" s="94" cm="1">
        <f t="array" ref="U7">IF(T7=1,SUMPRODUCT(($T$3:$T$56=1)*($R$3:$R$56&gt;R7))+COUNTIFS($T$3:T7,1,$R$3:R7,R7),"")</f>
        <v>6</v>
      </c>
    </row>
    <row r="8" spans="1:21" ht="18" customHeight="1" x14ac:dyDescent="0.25">
      <c r="A8" s="96" t="s">
        <v>360</v>
      </c>
      <c r="B8" s="97">
        <f>SUMIFS(PT!$N:$N,PT!$B:$B,"PLANTA",PT!$C:$C,"Total")/100</f>
        <v>8.0979999999999993E-3</v>
      </c>
      <c r="C8" s="97">
        <f>RESUMEN!F5</f>
        <v>1.06E-2</v>
      </c>
      <c r="D8" s="97">
        <f t="shared" ref="D8:D17" si="1">B8-C8</f>
        <v>-2.5020000000000008E-3</v>
      </c>
      <c r="E8" s="98" t="s">
        <v>368</v>
      </c>
      <c r="F8" s="98" t="str">
        <f>IF(B8&lt;=C8,"CUMPLE","ALERTA")</f>
        <v>CUMPLE</v>
      </c>
      <c r="H8" s="145"/>
      <c r="I8" s="145"/>
      <c r="J8" s="145"/>
      <c r="K8" s="145"/>
      <c r="L8" s="145"/>
      <c r="M8" s="145"/>
      <c r="N8" s="94">
        <f>ROW(PT!B8)</f>
        <v>8</v>
      </c>
      <c r="O8" s="94" t="str">
        <f>PT!B8</f>
        <v>PAN BOLLERIA</v>
      </c>
      <c r="P8" s="94">
        <f>PT!C8</f>
        <v>26475</v>
      </c>
      <c r="Q8" s="94" t="str">
        <f>PT!D8</f>
        <v>Pan Mantequilla 1p 550g Bolsa LAL</v>
      </c>
      <c r="R8" s="94">
        <f>N(PT!Q8)</f>
        <v>185.93</v>
      </c>
      <c r="S8" s="94">
        <f>N(PT!R8)/100</f>
        <v>6.8761000000000003E-2</v>
      </c>
      <c r="T8" s="94">
        <f t="shared" si="0"/>
        <v>1</v>
      </c>
      <c r="U8" s="94" cm="1">
        <f t="array" ref="U8">IF(T8=1,SUMPRODUCT(($T$3:$T$56=1)*($R$3:$R$56&gt;R8))+COUNTIFS($T$3:T8,1,$R$3:R8,R8),"")</f>
        <v>1</v>
      </c>
    </row>
    <row r="9" spans="1:21" ht="18" customHeight="1" x14ac:dyDescent="0.25">
      <c r="A9" s="96" t="s">
        <v>361</v>
      </c>
      <c r="B9" s="97">
        <f>SUMIFS(PT!$P:$P,PT!$B:$B,"PLANTA",PT!$C:$C,"Total")/100</f>
        <v>5.6610000000000002E-3</v>
      </c>
      <c r="C9" s="97">
        <f>RESUMEN!G5</f>
        <v>8.199999999999999E-3</v>
      </c>
      <c r="D9" s="97">
        <f t="shared" si="1"/>
        <v>-2.5389999999999987E-3</v>
      </c>
      <c r="E9" s="98" t="s">
        <v>368</v>
      </c>
      <c r="F9" s="98" t="str">
        <f>IF(B9&lt;=C9,"CUMPLE","ALERTA")</f>
        <v>CUMPLE</v>
      </c>
      <c r="H9" s="145"/>
      <c r="I9" s="145"/>
      <c r="J9" s="145"/>
      <c r="K9" s="145"/>
      <c r="L9" s="145"/>
      <c r="M9" s="145"/>
      <c r="N9" s="94">
        <f>ROW(PT!B9)</f>
        <v>9</v>
      </c>
      <c r="O9" s="94" t="str">
        <f>PT!B9</f>
        <v>PAN BOLLERIA</v>
      </c>
      <c r="P9" s="94">
        <f>PT!C9</f>
        <v>27031</v>
      </c>
      <c r="Q9" s="94" t="str">
        <f>PT!D9</f>
        <v>Dpack Pan Fruticereal 1p 1000g Bolsa BIM</v>
      </c>
      <c r="R9" s="94">
        <f>N(PT!Q9)</f>
        <v>0</v>
      </c>
      <c r="S9" s="94">
        <f>N(PT!R9)/100</f>
        <v>0</v>
      </c>
      <c r="T9" s="94">
        <f t="shared" si="0"/>
        <v>0</v>
      </c>
      <c r="U9" s="94" t="str" cm="1">
        <f t="array" ref="U9">IF(T9=1,SUMPRODUCT(($T$3:$T$56=1)*($R$3:$R$56&gt;R9))+COUNTIFS($T$3:T9,1,$R$3:R9,R9),"")</f>
        <v/>
      </c>
    </row>
    <row r="10" spans="1:21" ht="18" customHeight="1" x14ac:dyDescent="0.25">
      <c r="A10" s="96" t="s">
        <v>362</v>
      </c>
      <c r="B10" s="97">
        <f>SUMIFS(PT!$R:$R,PT!$B:$B,"PLANTA",PT!$C:$C,"Total")/100</f>
        <v>1.376E-2</v>
      </c>
      <c r="C10" s="97">
        <f>RESUMEN!H5</f>
        <v>1.89E-2</v>
      </c>
      <c r="D10" s="97">
        <f t="shared" si="1"/>
        <v>-5.1400000000000005E-3</v>
      </c>
      <c r="E10" s="98" t="s">
        <v>368</v>
      </c>
      <c r="F10" s="98" t="str">
        <f>IF(B10&lt;=C10,"CUMPLE","ALERTA")</f>
        <v>CUMPLE</v>
      </c>
      <c r="H10" s="145"/>
      <c r="I10" s="145"/>
      <c r="J10" s="145"/>
      <c r="K10" s="145"/>
      <c r="L10" s="145"/>
      <c r="M10" s="145"/>
      <c r="N10" s="94">
        <f>ROW(PT!B10)</f>
        <v>10</v>
      </c>
      <c r="O10" s="94" t="str">
        <f>PT!B10</f>
        <v>PAN BOLLERIA</v>
      </c>
      <c r="P10" s="94">
        <f>PT!C10</f>
        <v>28632</v>
      </c>
      <c r="Q10" s="94" t="str">
        <f>PT!D10</f>
        <v>Pan Mantequilla 1p 600g Bolsa BIM</v>
      </c>
      <c r="R10" s="94">
        <f>N(PT!Q10)</f>
        <v>21</v>
      </c>
      <c r="S10" s="94">
        <f>N(PT!R10)/100</f>
        <v>9.7579999999999993E-3</v>
      </c>
      <c r="T10" s="94">
        <f t="shared" si="0"/>
        <v>1</v>
      </c>
      <c r="U10" s="94" cm="1">
        <f t="array" ref="U10">IF(T10=1,SUMPRODUCT(($T$3:$T$56=1)*($R$3:$R$56&gt;R10))+COUNTIFS($T$3:T10,1,$R$3:R10,R10),"")</f>
        <v>16</v>
      </c>
    </row>
    <row r="11" spans="1:21" ht="18" customHeight="1" x14ac:dyDescent="0.25">
      <c r="A11" s="96" t="s">
        <v>363</v>
      </c>
      <c r="B11" s="97">
        <f>SUMIFS(PT!$V:$V,PT!$B:$B,"PLANTA",PT!$C:$C,"Total")/100</f>
        <v>6.2810000000000001E-3</v>
      </c>
      <c r="C11" s="97">
        <f>RESUMEN!I5</f>
        <v>1.3000000000000001E-2</v>
      </c>
      <c r="D11" s="97">
        <f t="shared" si="1"/>
        <v>-6.719000000000001E-3</v>
      </c>
      <c r="E11" s="98" t="s">
        <v>368</v>
      </c>
      <c r="F11" s="98" t="str">
        <f>IF(B11&lt;=C11,"CUMPLE","ALERTA")</f>
        <v>CUMPLE</v>
      </c>
      <c r="H11" s="145"/>
      <c r="I11" s="145"/>
      <c r="J11" s="145"/>
      <c r="K11" s="145"/>
      <c r="L11" s="145"/>
      <c r="M11" s="145"/>
      <c r="N11" s="94">
        <f>ROW(PT!B11)</f>
        <v>11</v>
      </c>
      <c r="O11" s="94" t="str">
        <f>PT!B11</f>
        <v>PAN BOLLERIA</v>
      </c>
      <c r="P11" s="94">
        <f>PT!C11</f>
        <v>29076</v>
      </c>
      <c r="Q11" s="94" t="str">
        <f>PT!D11</f>
        <v>Pan Super Perro 12p 4860g CJA BIM</v>
      </c>
      <c r="R11" s="94">
        <f>N(PT!Q11)</f>
        <v>0</v>
      </c>
      <c r="S11" s="94">
        <f>N(PT!R11)/100</f>
        <v>0</v>
      </c>
      <c r="T11" s="94">
        <f t="shared" si="0"/>
        <v>0</v>
      </c>
      <c r="U11" s="94" t="str" cm="1">
        <f t="array" ref="U11">IF(T11=1,SUMPRODUCT(($T$3:$T$56=1)*($R$3:$R$56&gt;R11))+COUNTIFS($T$3:T11,1,$R$3:R11,R11),"")</f>
        <v/>
      </c>
    </row>
    <row r="12" spans="1:21" ht="18" customHeight="1" x14ac:dyDescent="0.25">
      <c r="A12" s="96" t="s">
        <v>364</v>
      </c>
      <c r="B12" s="97">
        <f>IFERROR(SUMIFS(PT!$W:$W,PT!$B:$B,"PLANTA",PT!$C:$C,"Total")/SUMIFS(PT!$Q:$Q,PT!$B:$B,"PLANTA",PT!$C:$C,"Total"),0)</f>
        <v>0.54696682529077301</v>
      </c>
      <c r="C12" s="97">
        <f>RESUMEN!J5</f>
        <v>0.38</v>
      </c>
      <c r="D12" s="97">
        <f t="shared" si="1"/>
        <v>0.166966825290773</v>
      </c>
      <c r="E12" s="98" t="s">
        <v>369</v>
      </c>
      <c r="F12" s="98" t="str">
        <f>IF(B12&gt;=C12,"CUMPLE","ALERTA")</f>
        <v>CUMPLE</v>
      </c>
      <c r="H12" s="145"/>
      <c r="I12" s="145"/>
      <c r="J12" s="145"/>
      <c r="K12" s="145"/>
      <c r="L12" s="145"/>
      <c r="M12" s="145"/>
      <c r="N12" s="94">
        <f>ROW(PT!B12)</f>
        <v>12</v>
      </c>
      <c r="O12" s="94" t="str">
        <f>PT!B12</f>
        <v>PAN BOLLERIA</v>
      </c>
      <c r="P12" s="94">
        <f>PT!C12</f>
        <v>29434</v>
      </c>
      <c r="Q12" s="94" t="str">
        <f>PT!D12</f>
        <v>Pan Super Hamburguesa 12p 4200g CJA BIM</v>
      </c>
      <c r="R12" s="94">
        <f>N(PT!Q12)</f>
        <v>0</v>
      </c>
      <c r="S12" s="94">
        <f>N(PT!R12)/100</f>
        <v>0</v>
      </c>
      <c r="T12" s="94">
        <f t="shared" si="0"/>
        <v>0</v>
      </c>
      <c r="U12" s="94" t="str" cm="1">
        <f t="array" ref="U12">IF(T12=1,SUMPRODUCT(($T$3:$T$56=1)*($R$3:$R$56&gt;R12))+COUNTIFS($T$3:T12,1,$R$3:R12,R12),"")</f>
        <v/>
      </c>
    </row>
    <row r="13" spans="1:21" ht="18" customHeight="1" x14ac:dyDescent="0.25">
      <c r="A13" s="96" t="s">
        <v>365</v>
      </c>
      <c r="B13" s="97">
        <f>INDEX('OEE2'!$Y:$Y,MATCH("Total",'OEE2'!$D:$D,0))/100</f>
        <v>3.0836510428347164E-3</v>
      </c>
      <c r="C13" s="97">
        <f>RESUMEN!K5</f>
        <v>1.7000000000000001E-2</v>
      </c>
      <c r="D13" s="97">
        <f t="shared" si="1"/>
        <v>-1.3916348957165285E-2</v>
      </c>
      <c r="E13" s="98" t="s">
        <v>368</v>
      </c>
      <c r="F13" s="98" t="str">
        <f>IF(B13&lt;=C13,"CUMPLE","ALERTA")</f>
        <v>CUMPLE</v>
      </c>
      <c r="H13" s="145"/>
      <c r="I13" s="145"/>
      <c r="J13" s="145"/>
      <c r="K13" s="145"/>
      <c r="L13" s="145"/>
      <c r="M13" s="145"/>
      <c r="N13" s="94">
        <f>ROW(PT!B13)</f>
        <v>13</v>
      </c>
      <c r="O13" s="94" t="str">
        <f>PT!B13</f>
        <v>PAN BOLLERIA</v>
      </c>
      <c r="P13" s="94">
        <f>PT!C13</f>
        <v>41647</v>
      </c>
      <c r="Q13" s="94" t="str">
        <f>PT!D13</f>
        <v>Pan Mantequilla 12p 6600g CJA LAL</v>
      </c>
      <c r="R13" s="94">
        <f>N(PT!Q13)</f>
        <v>0</v>
      </c>
      <c r="S13" s="94">
        <f>N(PT!R13)/100</f>
        <v>0</v>
      </c>
      <c r="T13" s="94">
        <f t="shared" si="0"/>
        <v>0</v>
      </c>
      <c r="U13" s="94" t="str" cm="1">
        <f t="array" ref="U13">IF(T13=1,SUMPRODUCT(($T$3:$T$56=1)*($R$3:$R$56&gt;R13))+COUNTIFS($T$3:T13,1,$R$3:R13,R13),"")</f>
        <v/>
      </c>
    </row>
    <row r="14" spans="1:21" ht="18" customHeight="1" x14ac:dyDescent="0.25">
      <c r="A14" s="96" t="s">
        <v>273</v>
      </c>
      <c r="B14" s="97">
        <f>INDEX('OEE2'!$U:$U,MATCH("Total",'OEE2'!$D:$D,0))/100</f>
        <v>0.33189999999999997</v>
      </c>
      <c r="C14" s="97">
        <f>RESUMEN!L5/100</f>
        <v>0.32600000000000001</v>
      </c>
      <c r="D14" s="97">
        <f t="shared" si="1"/>
        <v>5.8999999999999608E-3</v>
      </c>
      <c r="E14" s="98" t="s">
        <v>369</v>
      </c>
      <c r="F14" s="98" t="str">
        <f>IF(B14&gt;=C14,"CUMPLE","ALERTA")</f>
        <v>CUMPLE</v>
      </c>
      <c r="H14" s="145"/>
      <c r="I14" s="145"/>
      <c r="J14" s="145"/>
      <c r="K14" s="145"/>
      <c r="L14" s="145"/>
      <c r="M14" s="145"/>
      <c r="N14" s="94">
        <f>ROW(PT!B14)</f>
        <v>14</v>
      </c>
      <c r="O14" s="94" t="str">
        <f>PT!B14</f>
        <v>PAN BOLLERIA</v>
      </c>
      <c r="P14" s="94">
        <f>PT!C14</f>
        <v>41648</v>
      </c>
      <c r="Q14" s="94" t="str">
        <f>PT!D14</f>
        <v>Pan Leche 12p 6600g CJA LAL</v>
      </c>
      <c r="R14" s="94">
        <f>N(PT!Q14)</f>
        <v>0</v>
      </c>
      <c r="S14" s="94">
        <f>N(PT!R14)/100</f>
        <v>0</v>
      </c>
      <c r="T14" s="94">
        <f t="shared" si="0"/>
        <v>0</v>
      </c>
      <c r="U14" s="94" t="str" cm="1">
        <f t="array" ref="U14">IF(T14=1,SUMPRODUCT(($T$3:$T$56=1)*($R$3:$R$56&gt;R14))+COUNTIFS($T$3:T14,1,$R$3:R14,R14),"")</f>
        <v/>
      </c>
    </row>
    <row r="15" spans="1:21" ht="18" customHeight="1" x14ac:dyDescent="0.25">
      <c r="A15" s="96" t="s">
        <v>274</v>
      </c>
      <c r="B15" s="97">
        <f>INDEX('OEE2'!$V:$V,MATCH("Total",'OEE2'!$D:$D,0))/100</f>
        <v>0.93779999999999997</v>
      </c>
      <c r="C15" s="97">
        <f>RESUMEN!M5</f>
        <v>0.92</v>
      </c>
      <c r="D15" s="97">
        <f t="shared" si="1"/>
        <v>1.7799999999999927E-2</v>
      </c>
      <c r="E15" s="98" t="s">
        <v>369</v>
      </c>
      <c r="F15" s="98" t="str">
        <f>IF(B15&gt;=C15,"CUMPLE","ALERTA")</f>
        <v>CUMPLE</v>
      </c>
      <c r="H15" s="145"/>
      <c r="I15" s="145"/>
      <c r="J15" s="145"/>
      <c r="K15" s="145"/>
      <c r="L15" s="145"/>
      <c r="M15" s="145"/>
      <c r="N15" s="94">
        <f>ROW(PT!B15)</f>
        <v>15</v>
      </c>
      <c r="O15" s="94" t="str">
        <f>PT!B15</f>
        <v>PAN BOLLERIA</v>
      </c>
      <c r="P15" s="94">
        <f>PT!C15</f>
        <v>41649</v>
      </c>
      <c r="Q15" s="94" t="str">
        <f>PT!D15</f>
        <v>Pan Integral 12p 6840g CJA LAL</v>
      </c>
      <c r="R15" s="94">
        <f>N(PT!Q15)</f>
        <v>8</v>
      </c>
      <c r="S15" s="94">
        <f>N(PT!R15)/100</f>
        <v>3.0839999999999999E-3</v>
      </c>
      <c r="T15" s="94">
        <f t="shared" si="0"/>
        <v>1</v>
      </c>
      <c r="U15" s="94" cm="1">
        <f t="array" ref="U15">IF(T15=1,SUMPRODUCT(($T$3:$T$56=1)*($R$3:$R$56&gt;R15))+COUNTIFS($T$3:T15,1,$R$3:R15,R15),"")</f>
        <v>23</v>
      </c>
    </row>
    <row r="16" spans="1:21" ht="18" customHeight="1" x14ac:dyDescent="0.25">
      <c r="A16" s="96" t="s">
        <v>366</v>
      </c>
      <c r="B16" s="97">
        <f>INDEX('OEE2'!$S:$S,MATCH("Total",'OEE2'!$D:$D,0))/100</f>
        <v>0.96530000000000005</v>
      </c>
      <c r="C16" s="97">
        <f>RESUMEN!N5</f>
        <v>0.86</v>
      </c>
      <c r="D16" s="97">
        <f t="shared" si="1"/>
        <v>0.10530000000000006</v>
      </c>
      <c r="E16" s="98" t="s">
        <v>369</v>
      </c>
      <c r="F16" s="98" t="str">
        <f>IF(B16&gt;=C16,"CUMPLE","ALERTA")</f>
        <v>CUMPLE</v>
      </c>
      <c r="H16" s="145"/>
      <c r="I16" s="145"/>
      <c r="J16" s="145"/>
      <c r="K16" s="145"/>
      <c r="L16" s="145"/>
      <c r="M16" s="145"/>
      <c r="N16" s="94">
        <f>ROW(PT!B16)</f>
        <v>16</v>
      </c>
      <c r="O16" s="94" t="str">
        <f>PT!B16</f>
        <v>PAN BOLLERIA</v>
      </c>
      <c r="P16" s="94">
        <f>PT!C16</f>
        <v>45533</v>
      </c>
      <c r="Q16" s="94" t="str">
        <f>PT!D16</f>
        <v>Vital Fruticereal 8p 4000g CJA BIM</v>
      </c>
      <c r="R16" s="94">
        <f>N(PT!Q16)</f>
        <v>0</v>
      </c>
      <c r="S16" s="94">
        <f>N(PT!R16)/100</f>
        <v>0</v>
      </c>
      <c r="T16" s="94">
        <f t="shared" si="0"/>
        <v>0</v>
      </c>
      <c r="U16" s="94" t="str" cm="1">
        <f t="array" ref="U16">IF(T16=1,SUMPRODUCT(($T$3:$T$56=1)*($R$3:$R$56&gt;R16))+COUNTIFS($T$3:T16,1,$R$3:R16,R16),"")</f>
        <v/>
      </c>
    </row>
    <row r="17" spans="1:21" ht="18" customHeight="1" x14ac:dyDescent="0.25">
      <c r="A17" s="96" t="s">
        <v>367</v>
      </c>
      <c r="B17" s="97">
        <f>INDEX('OEE2'!$T:$T,MATCH("Total",'OEE2'!$D:$D,0))/100</f>
        <v>0.97150000000000003</v>
      </c>
      <c r="C17" s="97">
        <f>RESUMEN!O5</f>
        <v>0.97499999999999998</v>
      </c>
      <c r="D17" s="97">
        <f t="shared" si="1"/>
        <v>-3.4999999999999476E-3</v>
      </c>
      <c r="E17" s="98" t="s">
        <v>369</v>
      </c>
      <c r="F17" s="98" t="str">
        <f>IF(B17&gt;=C17,"CUMPLE","ALERTA")</f>
        <v>ALERTA</v>
      </c>
      <c r="H17" s="145"/>
      <c r="I17" s="145"/>
      <c r="J17" s="145"/>
      <c r="K17" s="145"/>
      <c r="L17" s="145"/>
      <c r="M17" s="145"/>
      <c r="N17" s="94">
        <f>ROW(PT!B17)</f>
        <v>17</v>
      </c>
      <c r="O17" s="94" t="str">
        <f>PT!B17</f>
        <v>PAN BOLLERIA</v>
      </c>
      <c r="P17" s="94">
        <f>PT!C17</f>
        <v>45541</v>
      </c>
      <c r="Q17" s="94" t="str">
        <f>PT!D17</f>
        <v>Pan Mantequilla 10p 6000g CJA BIM</v>
      </c>
      <c r="R17" s="94">
        <f>N(PT!Q17)</f>
        <v>0</v>
      </c>
      <c r="S17" s="94">
        <f>N(PT!R17)/100</f>
        <v>0</v>
      </c>
      <c r="T17" s="94">
        <f t="shared" si="0"/>
        <v>0</v>
      </c>
      <c r="U17" s="94" t="str" cm="1">
        <f t="array" ref="U17">IF(T17=1,SUMPRODUCT(($T$3:$T$56=1)*($R$3:$R$56&gt;R17))+COUNTIFS($T$3:T17,1,$R$3:R17,R17),"")</f>
        <v/>
      </c>
    </row>
    <row r="18" spans="1:21" ht="18" customHeight="1" x14ac:dyDescent="0.25">
      <c r="A18" s="96" t="s">
        <v>379</v>
      </c>
      <c r="B18" s="97" t="s">
        <v>401</v>
      </c>
      <c r="C18" s="97">
        <f>RESUMEN!P5</f>
        <v>0.95</v>
      </c>
      <c r="D18" s="97"/>
      <c r="E18" s="98" t="s">
        <v>369</v>
      </c>
      <c r="F18" s="99" t="s">
        <v>402</v>
      </c>
      <c r="H18" s="145"/>
      <c r="I18" s="145"/>
      <c r="J18" s="145"/>
      <c r="K18" s="145"/>
      <c r="L18" s="145"/>
      <c r="M18" s="145"/>
      <c r="N18" s="94">
        <f>ROW(PT!B18)</f>
        <v>18</v>
      </c>
      <c r="O18" s="94" t="str">
        <f>PT!B18</f>
        <v>PAN BOLLERIA</v>
      </c>
      <c r="P18" s="94">
        <f>PT!C18</f>
        <v>48629</v>
      </c>
      <c r="Q18" s="94" t="str">
        <f>PT!D18</f>
        <v>Hamburguesa 42in 1p 700g Bolsa BIM</v>
      </c>
      <c r="R18" s="94">
        <f>N(PT!Q18)</f>
        <v>0</v>
      </c>
      <c r="S18" s="94">
        <f>N(PT!R18)/100</f>
        <v>0</v>
      </c>
      <c r="T18" s="94">
        <f t="shared" si="0"/>
        <v>0</v>
      </c>
      <c r="U18" s="94" t="str" cm="1">
        <f t="array" ref="U18">IF(T18=1,SUMPRODUCT(($T$3:$T$56=1)*($R$3:$R$56&gt;R18))+COUNTIFS($T$3:T18,1,$R$3:R18,R18),"")</f>
        <v/>
      </c>
    </row>
    <row r="19" spans="1:21" x14ac:dyDescent="0.25">
      <c r="A19" s="96" t="s">
        <v>350</v>
      </c>
      <c r="B19" s="97">
        <f>INDEX('OEE2'!$R:$R,MATCH("Total",'OEE2'!$D:$D,0))/100</f>
        <v>0.3538</v>
      </c>
      <c r="C19" s="97">
        <f>RESUMEN!Q5</f>
        <v>0.5</v>
      </c>
      <c r="D19" s="97">
        <f>B19-C19</f>
        <v>-0.1462</v>
      </c>
      <c r="E19" s="98" t="s">
        <v>369</v>
      </c>
      <c r="F19" s="98" t="str">
        <f>IF(B19&gt;=C19,"CUMPLE","ALERTA")</f>
        <v>ALERTA</v>
      </c>
      <c r="N19" s="94">
        <f>ROW(PT!B19)</f>
        <v>19</v>
      </c>
      <c r="O19" s="94" t="str">
        <f>PT!B19</f>
        <v>PAN BOLLERIA</v>
      </c>
      <c r="P19" s="94">
        <f>PT!C19</f>
        <v>48630</v>
      </c>
      <c r="Q19" s="94" t="str">
        <f>PT!D19</f>
        <v>Pan CR 42in 1p 830g Bolsa BIM</v>
      </c>
      <c r="R19" s="94">
        <f>N(PT!Q19)</f>
        <v>0</v>
      </c>
      <c r="S19" s="94">
        <f>N(PT!R19)/100</f>
        <v>0</v>
      </c>
      <c r="T19" s="94">
        <f t="shared" si="0"/>
        <v>0</v>
      </c>
      <c r="U19" s="94" t="str" cm="1">
        <f t="array" ref="U19">IF(T19=1,SUMPRODUCT(($T$3:$T$56=1)*($R$3:$R$56&gt;R19))+COUNTIFS($T$3:T19,1,$R$3:R19,R19),"")</f>
        <v/>
      </c>
    </row>
    <row r="20" spans="1:21" x14ac:dyDescent="0.25">
      <c r="N20" s="94">
        <f>ROW(PT!B20)</f>
        <v>20</v>
      </c>
      <c r="O20" s="94" t="str">
        <f>PT!B20</f>
        <v>PAN BOLLERIA</v>
      </c>
      <c r="P20" s="94">
        <f>PT!C20</f>
        <v>500490</v>
      </c>
      <c r="Q20" s="94" t="str">
        <f>PT!D20</f>
        <v>Horneaditos Pan Blan 16p 7200g CJA NP</v>
      </c>
      <c r="R20" s="94">
        <f>N(PT!Q20)</f>
        <v>80</v>
      </c>
      <c r="S20" s="94">
        <f>N(PT!R20)/100</f>
        <v>9.5740000000000009E-3</v>
      </c>
      <c r="T20" s="94">
        <f t="shared" si="0"/>
        <v>1</v>
      </c>
      <c r="U20" s="94" cm="1">
        <f t="array" ref="U20">IF(T20=1,SUMPRODUCT(($T$3:$T$56=1)*($R$3:$R$56&gt;R20))+COUNTIFS($T$3:T20,1,$R$3:R20,R20),"")</f>
        <v>8</v>
      </c>
    </row>
    <row r="21" spans="1:21" ht="20.100000000000001" customHeight="1" x14ac:dyDescent="0.25">
      <c r="A21" s="135" t="s">
        <v>380</v>
      </c>
      <c r="B21" s="135"/>
      <c r="C21" s="135"/>
      <c r="D21" s="135"/>
      <c r="E21" s="135"/>
      <c r="F21" s="135"/>
      <c r="G21" s="135"/>
      <c r="H21" s="135"/>
      <c r="N21" s="94">
        <f>ROW(PT!B21)</f>
        <v>21</v>
      </c>
      <c r="O21" s="94" t="str">
        <f>PT!B21</f>
        <v>PAN BOLLERIA</v>
      </c>
      <c r="P21" s="94">
        <f>PT!C21</f>
        <v>500493</v>
      </c>
      <c r="Q21" s="94" t="str">
        <f>PT!D21</f>
        <v>Horneaditos Supe Perro 15p 5550g CJA NP</v>
      </c>
      <c r="R21" s="94">
        <f>N(PT!Q21)</f>
        <v>11</v>
      </c>
      <c r="S21" s="94">
        <f>N(PT!R21)/100</f>
        <v>3.9420000000000002E-3</v>
      </c>
      <c r="T21" s="94">
        <f t="shared" si="0"/>
        <v>1</v>
      </c>
      <c r="U21" s="94" cm="1">
        <f t="array" ref="U21">IF(T21=1,SUMPRODUCT(($T$3:$T$56=1)*($R$3:$R$56&gt;R21))+COUNTIFS($T$3:T21,1,$R$3:R21,R21),"")</f>
        <v>21</v>
      </c>
    </row>
    <row r="22" spans="1:21" ht="32.1" customHeight="1" x14ac:dyDescent="0.25">
      <c r="A22" s="95" t="s">
        <v>35</v>
      </c>
      <c r="B22" s="95" t="s">
        <v>350</v>
      </c>
      <c r="C22" s="95" t="s">
        <v>273</v>
      </c>
      <c r="D22" s="95" t="s">
        <v>274</v>
      </c>
      <c r="E22" s="95" t="s">
        <v>381</v>
      </c>
      <c r="F22" s="95" t="s">
        <v>370</v>
      </c>
      <c r="G22" s="95" t="s">
        <v>404</v>
      </c>
      <c r="H22" s="95" t="s">
        <v>405</v>
      </c>
      <c r="N22" s="94">
        <f>ROW(PT!B22)</f>
        <v>22</v>
      </c>
      <c r="O22" s="94" t="str">
        <f>PT!B22</f>
        <v>PAN BOLLERIA</v>
      </c>
      <c r="P22" s="94">
        <f>PT!C22</f>
        <v>504672</v>
      </c>
      <c r="Q22" s="94" t="str">
        <f>PT!D22</f>
        <v>Pan Spr Hamburgue Ajon 1p 525g Bolsa BIM</v>
      </c>
      <c r="R22" s="94">
        <f>N(PT!Q22)</f>
        <v>0</v>
      </c>
      <c r="S22" s="94">
        <f>N(PT!R22)/100</f>
        <v>0</v>
      </c>
      <c r="T22" s="94">
        <f t="shared" si="0"/>
        <v>0</v>
      </c>
      <c r="U22" s="94" t="str" cm="1">
        <f t="array" ref="U22">IF(T22=1,SUMPRODUCT(($T$3:$T$56=1)*($R$3:$R$56&gt;R22))+COUNTIFS($T$3:T22,1,$R$3:R22,R22),"")</f>
        <v/>
      </c>
    </row>
    <row r="23" spans="1:21" x14ac:dyDescent="0.25">
      <c r="A23" s="98" t="str">
        <f>'OEE2'!D3</f>
        <v>Pan bolleria</v>
      </c>
      <c r="B23" s="100">
        <f>'OEE2'!R3/100</f>
        <v>0.31920000000000004</v>
      </c>
      <c r="C23" s="100">
        <f>'OEE2'!U3/100</f>
        <v>0.2757</v>
      </c>
      <c r="D23" s="100">
        <f>'OEE2'!V3/100</f>
        <v>0.8637999999999999</v>
      </c>
      <c r="E23" s="101">
        <f>'OEE2'!F3</f>
        <v>104.27</v>
      </c>
      <c r="F23" s="101">
        <f>'OEE2'!Z3</f>
        <v>5.3600000000000012</v>
      </c>
      <c r="G23" s="102">
        <f>'OEE2'!P3</f>
        <v>0</v>
      </c>
      <c r="H23" s="102" t="str">
        <f>IF(G23&gt;0,"ALERTA: SIN CLASIFICAR "&amp;TEXT(G23,"0.00")&amp;" h",IF(AND(B23&gt;=RESUMEN!Q7/100,C23&gt;=RESUMEN!L7/100,D23&gt;=RESUMEN!M7/100),"CUMPLE","BAJO: "&amp;IF(B23&lt;RESUMEN!Q7/100,"CU ","")&amp;IF(C23&lt;RESUMEN!L7/100,"OEE1 ","")&amp;IF(D23&lt;RESUMEN!M7/100,"OEE2","")))</f>
        <v xml:space="preserve">BAJO: CU </v>
      </c>
      <c r="N23" s="94">
        <f>ROW(PT!B23)</f>
        <v>23</v>
      </c>
      <c r="O23" s="94" t="str">
        <f>PT!B23</f>
        <v>PAN BOLLERIA</v>
      </c>
      <c r="P23" s="94">
        <f>PT!C23</f>
        <v>505377</v>
      </c>
      <c r="Q23" s="94" t="str">
        <f>PT!D23</f>
        <v>Horneaditos PanIntegral 16p 7200g CJA NP</v>
      </c>
      <c r="R23" s="94">
        <f>N(PT!Q23)</f>
        <v>61</v>
      </c>
      <c r="S23" s="94">
        <f>N(PT!R23)/100</f>
        <v>1.2782999999999999E-2</v>
      </c>
      <c r="T23" s="94">
        <f t="shared" si="0"/>
        <v>1</v>
      </c>
      <c r="U23" s="94" cm="1">
        <f t="array" ref="U23">IF(T23=1,SUMPRODUCT(($T$3:$T$56=1)*($R$3:$R$56&gt;R23))+COUNTIFS($T$3:T23,1,$R$3:R23,R23),"")</f>
        <v>10</v>
      </c>
    </row>
    <row r="24" spans="1:21" x14ac:dyDescent="0.25">
      <c r="A24" s="98" t="str">
        <f>'OEE2'!D4</f>
        <v>Panqueleria</v>
      </c>
      <c r="B24" s="100">
        <f>'OEE2'!R4/100</f>
        <v>0.24640000000000001</v>
      </c>
      <c r="C24" s="100">
        <f>'OEE2'!U4/100</f>
        <v>0.2407</v>
      </c>
      <c r="D24" s="100">
        <f>'OEE2'!V4/100</f>
        <v>0.97670000000000001</v>
      </c>
      <c r="E24" s="101">
        <f>'OEE2'!F4</f>
        <v>126.59</v>
      </c>
      <c r="F24" s="101">
        <f>'OEE2'!Z4</f>
        <v>0.20999000000000001</v>
      </c>
      <c r="G24" s="102">
        <f>'OEE2'!P4</f>
        <v>0</v>
      </c>
      <c r="H24" s="102" t="str">
        <f>IF(G24&gt;0,"ALERTA: SIN CLASIFICAR "&amp;TEXT(G24,"0.00")&amp;" h",IF(AND(B24&gt;=RESUMEN!Q8/100,C24&gt;=RESUMEN!L8/100,D24&gt;=RESUMEN!M8/100),"CUMPLE","BAJO: "&amp;IF(B24&lt;RESUMEN!Q8/100,"CU ","")&amp;IF(C24&lt;RESUMEN!L8/100,"OEE1 ","")&amp;IF(D24&lt;RESUMEN!M8/100,"OEE2","")))</f>
        <v xml:space="preserve">BAJO: CU OEE1 </v>
      </c>
      <c r="N24" s="94">
        <f>ROW(PT!B24)</f>
        <v>24</v>
      </c>
      <c r="O24" s="94" t="str">
        <f>PT!B24</f>
        <v>PAN BOLLERIA</v>
      </c>
      <c r="P24" s="94">
        <f>PT!C24</f>
        <v>505976</v>
      </c>
      <c r="Q24" s="94" t="str">
        <f>PT!D24</f>
        <v>Pan Blanco 1p 450g BOLSA LAL</v>
      </c>
      <c r="R24" s="94">
        <f>N(PT!Q24)</f>
        <v>112.48</v>
      </c>
      <c r="S24" s="94">
        <f>N(PT!R24)/100</f>
        <v>3.3647999999999997E-2</v>
      </c>
      <c r="T24" s="94">
        <f t="shared" si="0"/>
        <v>1</v>
      </c>
      <c r="U24" s="94" cm="1">
        <f t="array" ref="U24">IF(T24=1,SUMPRODUCT(($T$3:$T$56=1)*($R$3:$R$56&gt;R24))+COUNTIFS($T$3:T24,1,$R$3:R24,R24),"")</f>
        <v>5</v>
      </c>
    </row>
    <row r="25" spans="1:21" x14ac:dyDescent="0.25">
      <c r="A25" s="98" t="str">
        <f>'OEE2'!D5</f>
        <v>Tortillas</v>
      </c>
      <c r="B25" s="100">
        <f>'OEE2'!R5/100</f>
        <v>0.49590000000000001</v>
      </c>
      <c r="C25" s="100">
        <f>'OEE2'!U5/100</f>
        <v>0.48039999999999999</v>
      </c>
      <c r="D25" s="100">
        <f>'OEE2'!V5/100</f>
        <v>0.96860000000000002</v>
      </c>
      <c r="E25" s="101">
        <f>'OEE2'!F5</f>
        <v>84.68</v>
      </c>
      <c r="F25" s="101">
        <f>'OEE2'!Z5</f>
        <v>0.61</v>
      </c>
      <c r="G25" s="102">
        <f>'OEE2'!P5</f>
        <v>0</v>
      </c>
      <c r="H25" s="102" t="str">
        <f>IF(G25&gt;0,"ALERTA: SIN CLASIFICAR "&amp;TEXT(G25,"0.00")&amp;" h",IF(AND(B25&gt;=RESUMEN!Q9/100,C25&gt;=RESUMEN!L9/100,D25&gt;=RESUMEN!M9/100),"CUMPLE","BAJO: "&amp;IF(B25&lt;RESUMEN!Q9/100,"CU ","")&amp;IF(C25&lt;RESUMEN!L9/100,"OEE1 ","")&amp;IF(D25&lt;RESUMEN!M9/100,"OEE2","")))</f>
        <v xml:space="preserve">BAJO: CU </v>
      </c>
      <c r="N25" s="94">
        <f>ROW(PT!B25)</f>
        <v>25</v>
      </c>
      <c r="O25" s="94" t="str">
        <f>PT!B25</f>
        <v>PAN BOLLERIA</v>
      </c>
      <c r="P25" s="94">
        <f>PT!C25</f>
        <v>506250</v>
      </c>
      <c r="Q25" s="94" t="str">
        <f>PT!D25</f>
        <v>Pan Blanco PRO 1p 470g BOLSA BIM</v>
      </c>
      <c r="R25" s="94">
        <f>N(PT!Q25)</f>
        <v>149.4</v>
      </c>
      <c r="S25" s="94">
        <f>N(PT!R25)/100</f>
        <v>4.3430999999999997E-2</v>
      </c>
      <c r="T25" s="94">
        <f t="shared" si="0"/>
        <v>1</v>
      </c>
      <c r="U25" s="94" cm="1">
        <f t="array" ref="U25">IF(T25=1,SUMPRODUCT(($T$3:$T$56=1)*($R$3:$R$56&gt;R25))+COUNTIFS($T$3:T25,1,$R$3:R25,R25),"")</f>
        <v>3</v>
      </c>
    </row>
    <row r="26" spans="1:21" ht="31.5" x14ac:dyDescent="0.25">
      <c r="A26" s="103" t="str">
        <f>'OEE2'!D6</f>
        <v>Total</v>
      </c>
      <c r="B26" s="104">
        <f>'OEE2'!R6/100</f>
        <v>0.3538</v>
      </c>
      <c r="C26" s="104">
        <f>'OEE2'!U6/100</f>
        <v>0.33189999999999997</v>
      </c>
      <c r="D26" s="104">
        <f>'OEE2'!V6/100</f>
        <v>0.93779999999999997</v>
      </c>
      <c r="E26" s="105">
        <f>'OEE2'!F6</f>
        <v>315.52999999999997</v>
      </c>
      <c r="F26" s="105">
        <f>'OEE2'!Z6</f>
        <v>6.18</v>
      </c>
      <c r="G26" s="102">
        <f>'OEE2'!P6</f>
        <v>0</v>
      </c>
      <c r="H26" s="102" t="str">
        <f>IF(G26&gt;0,"ALERTA: SIN CLASIFICAR "&amp;TEXT(G26,"0.00")&amp;" h","CUMPLE: SIN CLASIFICAR = 0")</f>
        <v>CUMPLE: SIN CLASIFICAR = 0</v>
      </c>
      <c r="N26" s="94">
        <f>ROW(PT!B26)</f>
        <v>26</v>
      </c>
      <c r="O26" s="94" t="str">
        <f>PT!B26</f>
        <v>PAN BOLLERIA</v>
      </c>
      <c r="P26" s="94">
        <f>PT!C26</f>
        <v>506251</v>
      </c>
      <c r="Q26" s="94" t="str">
        <f>PT!D26</f>
        <v>Pan Blanco PRO 1p 600g BOLSA BIM</v>
      </c>
      <c r="R26" s="94">
        <f>N(PT!Q26)</f>
        <v>31</v>
      </c>
      <c r="S26" s="94">
        <f>N(PT!R26)/100</f>
        <v>7.1999999999999998E-3</v>
      </c>
      <c r="T26" s="94">
        <f t="shared" si="0"/>
        <v>1</v>
      </c>
      <c r="U26" s="94" cm="1">
        <f t="array" ref="U26">IF(T26=1,SUMPRODUCT(($T$3:$T$56=1)*($R$3:$R$56&gt;R26))+COUNTIFS($T$3:T26,1,$R$3:R26,R26),"")</f>
        <v>13</v>
      </c>
    </row>
    <row r="27" spans="1:21" ht="20.100000000000001" customHeight="1" x14ac:dyDescent="0.25">
      <c r="A27" s="135" t="s">
        <v>382</v>
      </c>
      <c r="B27" s="135"/>
      <c r="C27" s="135"/>
      <c r="D27" s="135"/>
      <c r="E27" s="135"/>
      <c r="F27" s="135"/>
      <c r="G27" s="135"/>
      <c r="H27" s="135"/>
      <c r="N27" s="94">
        <f>ROW(PT!B27)</f>
        <v>27</v>
      </c>
      <c r="O27" s="94" t="str">
        <f>PT!B27</f>
        <v>PAN BOLLERIA</v>
      </c>
      <c r="P27" s="94">
        <f>PT!C27</f>
        <v>506252</v>
      </c>
      <c r="Q27" s="94" t="str">
        <f>PT!D27</f>
        <v>Pan Blanco PRO 1p 730g BOLSA BIM</v>
      </c>
      <c r="R27" s="94">
        <f>N(PT!Q27)</f>
        <v>24.97</v>
      </c>
      <c r="S27" s="94">
        <f>N(PT!R27)/100</f>
        <v>7.6930000000000002E-3</v>
      </c>
      <c r="T27" s="94">
        <f t="shared" si="0"/>
        <v>1</v>
      </c>
      <c r="U27" s="94" cm="1">
        <f t="array" ref="U27">IF(T27=1,SUMPRODUCT(($T$3:$T$56=1)*($R$3:$R$56&gt;R27))+COUNTIFS($T$3:T27,1,$R$3:R27,R27),"")</f>
        <v>15</v>
      </c>
    </row>
    <row r="28" spans="1:21" ht="30" customHeight="1" x14ac:dyDescent="0.25">
      <c r="A28" s="95" t="s">
        <v>35</v>
      </c>
      <c r="B28" s="95" t="s">
        <v>383</v>
      </c>
      <c r="C28" s="95" t="s">
        <v>384</v>
      </c>
      <c r="D28" s="95" t="s">
        <v>385</v>
      </c>
      <c r="E28" s="95" t="s">
        <v>386</v>
      </c>
      <c r="F28" s="95" t="s">
        <v>387</v>
      </c>
      <c r="G28" s="95" t="s">
        <v>406</v>
      </c>
      <c r="H28" s="95" t="s">
        <v>407</v>
      </c>
      <c r="N28" s="94">
        <f>ROW(PT!B28)</f>
        <v>28</v>
      </c>
      <c r="O28" s="94" t="str">
        <f>PT!B28</f>
        <v>PAN BOLLERIA</v>
      </c>
      <c r="P28" s="94">
        <f>PT!C28</f>
        <v>5523</v>
      </c>
      <c r="Q28" s="94" t="str">
        <f>PT!D28</f>
        <v>Pan Super Hamburguesa 1p 350g Bolsa BIM</v>
      </c>
      <c r="R28" s="94">
        <f>N(PT!Q28)</f>
        <v>33</v>
      </c>
      <c r="S28" s="94">
        <f>N(PT!R28)/100</f>
        <v>0.162826</v>
      </c>
      <c r="T28" s="94">
        <f t="shared" si="0"/>
        <v>1</v>
      </c>
      <c r="U28" s="94" cm="1">
        <f t="array" ref="U28">IF(T28=1,SUMPRODUCT(($T$3:$T$56=1)*($R$3:$R$56&gt;R28))+COUNTIFS($T$3:T28,1,$R$3:R28,R28),"")</f>
        <v>12</v>
      </c>
    </row>
    <row r="29" spans="1:21" ht="20.100000000000001" customHeight="1" x14ac:dyDescent="0.25">
      <c r="A29" s="98" t="str">
        <f>'OEE2'!D3</f>
        <v>Pan bolleria</v>
      </c>
      <c r="B29" s="101">
        <f>'OEE2'!J3</f>
        <v>1.54</v>
      </c>
      <c r="C29" s="101">
        <f>'OEE2'!K3</f>
        <v>0.6</v>
      </c>
      <c r="D29" s="101">
        <f>'OEE2'!L3</f>
        <v>0.55000000000000004</v>
      </c>
      <c r="E29" s="101">
        <f>'OEE2'!N3</f>
        <v>1.56</v>
      </c>
      <c r="F29" s="101">
        <f>'OEE2'!O3</f>
        <v>0.32</v>
      </c>
      <c r="G29" s="101">
        <f>'OEE2'!P3</f>
        <v>0</v>
      </c>
      <c r="H29" s="96" t="str">
        <f>IF(G29=0,"CUMPLE","ALERTA")</f>
        <v>CUMPLE</v>
      </c>
      <c r="N29" s="94">
        <f>ROW(PT!B29)</f>
        <v>29</v>
      </c>
      <c r="O29" s="94" t="str">
        <f>PT!B29</f>
        <v>PAN BOLLERIA</v>
      </c>
      <c r="P29" s="94">
        <f>PT!C29</f>
        <v>7494</v>
      </c>
      <c r="Q29" s="94" t="str">
        <f>PT!D29</f>
        <v>Pan Perro 1p 405g Bolsa BIM</v>
      </c>
      <c r="R29" s="94">
        <f>N(PT!Q29)</f>
        <v>0</v>
      </c>
      <c r="S29" s="94">
        <f>N(PT!R29)/100</f>
        <v>0</v>
      </c>
      <c r="T29" s="94">
        <f t="shared" si="0"/>
        <v>0</v>
      </c>
      <c r="U29" s="94" t="str" cm="1">
        <f t="array" ref="U29">IF(T29=1,SUMPRODUCT(($T$3:$T$56=1)*($R$3:$R$56&gt;R29))+COUNTIFS($T$3:T29,1,$R$3:R29,R29),"")</f>
        <v/>
      </c>
    </row>
    <row r="30" spans="1:21" ht="20.100000000000001" customHeight="1" x14ac:dyDescent="0.25">
      <c r="A30" s="98" t="str">
        <f>'OEE2'!D4</f>
        <v>Panqueleria</v>
      </c>
      <c r="B30" s="101">
        <f>'OEE2'!J4</f>
        <v>0</v>
      </c>
      <c r="C30" s="101">
        <f>'OEE2'!K4</f>
        <v>0</v>
      </c>
      <c r="D30" s="101">
        <f>'OEE2'!L4</f>
        <v>0</v>
      </c>
      <c r="E30" s="101">
        <f>'OEE2'!N4</f>
        <v>6.9989999999999997E-2</v>
      </c>
      <c r="F30" s="101">
        <f>'OEE2'!O4</f>
        <v>0.14000000000000001</v>
      </c>
      <c r="G30" s="101">
        <f>'OEE2'!P4</f>
        <v>0</v>
      </c>
      <c r="H30" s="96" t="str">
        <f>IF(G30=0,"CUMPLE","ALERTA")</f>
        <v>CUMPLE</v>
      </c>
      <c r="N30" s="94">
        <f>ROW(PT!B30)</f>
        <v>30</v>
      </c>
      <c r="O30" s="94" t="str">
        <f>PT!B30</f>
        <v>PAN BOLLERIA</v>
      </c>
      <c r="P30" s="94">
        <f>PT!C30</f>
        <v>9466</v>
      </c>
      <c r="Q30" s="94" t="str">
        <f>PT!D30</f>
        <v>Pan Hamburguesa Har 5in 1p880g Bolsa BIM</v>
      </c>
      <c r="R30" s="94">
        <f>N(PT!Q30)</f>
        <v>12</v>
      </c>
      <c r="S30" s="94">
        <f>N(PT!R30)/100</f>
        <v>7.0609999999999996E-3</v>
      </c>
      <c r="T30" s="94">
        <f t="shared" si="0"/>
        <v>1</v>
      </c>
      <c r="U30" s="94" cm="1">
        <f t="array" ref="U30">IF(T30=1,SUMPRODUCT(($T$3:$T$56=1)*($R$3:$R$56&gt;R30))+COUNTIFS($T$3:T30,1,$R$3:R30,R30),"")</f>
        <v>20</v>
      </c>
    </row>
    <row r="31" spans="1:21" ht="20.100000000000001" customHeight="1" x14ac:dyDescent="0.25">
      <c r="A31" s="98" t="str">
        <f>'OEE2'!D5</f>
        <v>Tortillas</v>
      </c>
      <c r="B31" s="101">
        <f>'OEE2'!J5</f>
        <v>0</v>
      </c>
      <c r="C31" s="101">
        <f>'OEE2'!K5</f>
        <v>0.06</v>
      </c>
      <c r="D31" s="101">
        <f>'OEE2'!L5</f>
        <v>0</v>
      </c>
      <c r="E31" s="101">
        <f>'OEE2'!N5</f>
        <v>0.28999999999999998</v>
      </c>
      <c r="F31" s="101">
        <f>'OEE2'!O5</f>
        <v>0.08</v>
      </c>
      <c r="G31" s="101">
        <f>'OEE2'!P5</f>
        <v>0</v>
      </c>
      <c r="H31" s="96" t="str">
        <f>IF(G31=0,"CUMPLE","ALERTA")</f>
        <v>CUMPLE</v>
      </c>
      <c r="N31" s="94">
        <f>ROW(PT!B31)</f>
        <v>31</v>
      </c>
      <c r="O31" s="94" t="str">
        <f>PT!B31</f>
        <v>PAN BOLLERIA</v>
      </c>
      <c r="P31" s="94">
        <f>PT!C31</f>
        <v>963582</v>
      </c>
      <c r="Q31" s="94" t="str">
        <f>PT!D31</f>
        <v>Pan Blanco 10p 5800g CJA BIM</v>
      </c>
      <c r="R31" s="94">
        <f>N(PT!Q31)</f>
        <v>11</v>
      </c>
      <c r="S31" s="94">
        <f>N(PT!R31)/100</f>
        <v>1.9430000000000001E-3</v>
      </c>
      <c r="T31" s="94">
        <f t="shared" si="0"/>
        <v>1</v>
      </c>
      <c r="U31" s="94" cm="1">
        <f t="array" ref="U31">IF(T31=1,SUMPRODUCT(($T$3:$T$56=1)*($R$3:$R$56&gt;R31))+COUNTIFS($T$3:T31,1,$R$3:R31,R31),"")</f>
        <v>22</v>
      </c>
    </row>
    <row r="32" spans="1:21" ht="20.100000000000001" customHeight="1" x14ac:dyDescent="0.25">
      <c r="A32" s="103" t="str">
        <f>'OEE2'!D6</f>
        <v>Total</v>
      </c>
      <c r="B32" s="105">
        <f>'OEE2'!J6</f>
        <v>1.54</v>
      </c>
      <c r="C32" s="105">
        <f>'OEE2'!K6</f>
        <v>0.66</v>
      </c>
      <c r="D32" s="105">
        <f>'OEE2'!L6</f>
        <v>0.55000000000000004</v>
      </c>
      <c r="E32" s="105">
        <f>'OEE2'!N6</f>
        <v>1.92</v>
      </c>
      <c r="F32" s="105">
        <f>'OEE2'!O6</f>
        <v>0.54</v>
      </c>
      <c r="G32" s="101">
        <f>'OEE2'!P6</f>
        <v>0</v>
      </c>
      <c r="H32" s="96" t="str">
        <f>IF(G32=0,"CUMPLE","ALERTA")</f>
        <v>CUMPLE</v>
      </c>
      <c r="N32" s="94">
        <f>ROW(PT!B32)</f>
        <v>32</v>
      </c>
      <c r="O32" s="94" t="str">
        <f>PT!B32</f>
        <v>PAN BOLLERIA</v>
      </c>
      <c r="P32" s="94">
        <f>PT!C32</f>
        <v>963603</v>
      </c>
      <c r="Q32" s="94" t="str">
        <f>PT!D32</f>
        <v>Duopack Pan Blanco 2p 1200g BOLSA BIM</v>
      </c>
      <c r="R32" s="94">
        <f>N(PT!Q32)</f>
        <v>0</v>
      </c>
      <c r="S32" s="94">
        <f>N(PT!R32)/100</f>
        <v>0</v>
      </c>
      <c r="T32" s="94">
        <f t="shared" si="0"/>
        <v>0</v>
      </c>
      <c r="U32" s="94" t="str" cm="1">
        <f t="array" ref="U32">IF(T32=1,SUMPRODUCT(($T$3:$T$56=1)*($R$3:$R$56&gt;R32))+COUNTIFS($T$3:T32,1,$R$3:R32,R32),"")</f>
        <v/>
      </c>
    </row>
    <row r="33" spans="1:21" ht="15" customHeight="1" x14ac:dyDescent="0.25">
      <c r="N33" s="94">
        <f>ROW(PT!B33)</f>
        <v>33</v>
      </c>
      <c r="O33" s="94" t="str">
        <f>PT!B33</f>
        <v>PAN BOLLERIA</v>
      </c>
      <c r="P33" s="94">
        <f>PT!C33</f>
        <v>963728</v>
      </c>
      <c r="Q33" s="94" t="str">
        <f>PT!D33</f>
        <v>Pan Bln TT 1p 450g BOLSA LAL</v>
      </c>
      <c r="R33" s="94">
        <f>N(PT!Q33)</f>
        <v>0</v>
      </c>
      <c r="S33" s="94">
        <f>N(PT!R33)/100</f>
        <v>0</v>
      </c>
      <c r="T33" s="94">
        <f t="shared" si="0"/>
        <v>0</v>
      </c>
      <c r="U33" s="94" t="str" cm="1">
        <f t="array" ref="U33">IF(T33=1,SUMPRODUCT(($T$3:$T$56=1)*($R$3:$R$56&gt;R33))+COUNTIFS($T$3:T33,1,$R$3:R33,R33),"")</f>
        <v/>
      </c>
    </row>
    <row r="34" spans="1:21" ht="20.100000000000001" customHeight="1" x14ac:dyDescent="0.25">
      <c r="A34" s="135" t="s">
        <v>393</v>
      </c>
      <c r="B34" s="135"/>
      <c r="C34" s="135"/>
      <c r="D34" s="135"/>
      <c r="E34" s="135"/>
      <c r="F34" s="135"/>
      <c r="G34" s="135"/>
      <c r="H34" s="135"/>
      <c r="N34" s="94">
        <f>ROW(PT!B34)</f>
        <v>34</v>
      </c>
      <c r="O34" s="94" t="str">
        <f>PT!B34</f>
        <v>PAN BOLLERIA</v>
      </c>
      <c r="P34" s="94">
        <f>PT!C34</f>
        <v>963824</v>
      </c>
      <c r="Q34" s="94" t="str">
        <f>PT!D34</f>
        <v>Duo Pack Pan Artesano Blanco MM 2p</v>
      </c>
      <c r="R34" s="94">
        <f>N(PT!Q34)</f>
        <v>0</v>
      </c>
      <c r="S34" s="94">
        <f>N(PT!R34)/100</f>
        <v>0</v>
      </c>
      <c r="T34" s="94">
        <f t="shared" si="0"/>
        <v>0</v>
      </c>
      <c r="U34" s="94" t="str" cm="1">
        <f t="array" ref="U34">IF(T34=1,SUMPRODUCT(($T$3:$T$56=1)*($R$3:$R$56&gt;R34))+COUNTIFS($T$3:T34,1,$R$3:R34,R34),"")</f>
        <v/>
      </c>
    </row>
    <row r="35" spans="1:21" ht="30" customHeight="1" x14ac:dyDescent="0.25">
      <c r="A35" s="95" t="s">
        <v>0</v>
      </c>
      <c r="B35" s="95" t="s">
        <v>35</v>
      </c>
      <c r="C35" s="95" t="s">
        <v>371</v>
      </c>
      <c r="D35" s="95" t="s">
        <v>372</v>
      </c>
      <c r="E35" s="95" t="s">
        <v>373</v>
      </c>
      <c r="F35" s="95" t="s">
        <v>374</v>
      </c>
      <c r="N35" s="94">
        <f>ROW(PT!B35)</f>
        <v>35</v>
      </c>
      <c r="O35" s="94" t="str">
        <f>PT!B35</f>
        <v>PAN BOLLERIA</v>
      </c>
      <c r="P35" s="94">
        <f>PT!C35</f>
        <v>963833</v>
      </c>
      <c r="Q35" s="94" t="str">
        <f>PT!D35</f>
        <v>Pan Blanco Artes MM 1p 500g BOLSA BIM</v>
      </c>
      <c r="R35" s="94">
        <f>N(PT!Q35)</f>
        <v>81</v>
      </c>
      <c r="S35" s="94">
        <f>N(PT!R35)/100</f>
        <v>4.4359000000000003E-2</v>
      </c>
      <c r="T35" s="94">
        <f t="shared" si="0"/>
        <v>1</v>
      </c>
      <c r="U35" s="94" cm="1">
        <f t="array" ref="U35">IF(T35=1,SUMPRODUCT(($T$3:$T$56=1)*($R$3:$R$56&gt;R35))+COUNTIFS($T$3:T35,1,$R$3:R35,R35),"")</f>
        <v>7</v>
      </c>
    </row>
    <row r="36" spans="1:21" ht="30" customHeight="1" x14ac:dyDescent="0.25">
      <c r="A36" s="98">
        <f>1</f>
        <v>1</v>
      </c>
      <c r="B36" s="98" t="str">
        <f>IFERROR(INDEX($O$3:$O$56,MATCH(A36,$U$3:$U$56,0)),"")</f>
        <v>PAN BOLLERIA</v>
      </c>
      <c r="C36" s="98">
        <f>IFERROR(INDEX($P$3:$P$56,MATCH(A36,$U$3:$U$56,0)),"")</f>
        <v>26475</v>
      </c>
      <c r="D36" s="96" t="str">
        <f>IFERROR(INDEX($Q$3:$Q$56,MATCH(A36,$U$3:$U$56,0)),"")</f>
        <v>Pan Mantequilla 1p 550g Bolsa LAL</v>
      </c>
      <c r="E36" s="106">
        <f>IFERROR(INDEX($R$3:$R$56,MATCH(A36,$U$3:$U$56,0)),0)</f>
        <v>185.93</v>
      </c>
      <c r="F36" s="97">
        <f>IFERROR(INDEX($S$3:$S$56,MATCH(A36,$U$3:$U$56,0)),0)</f>
        <v>6.8761000000000003E-2</v>
      </c>
      <c r="N36" s="94">
        <f>ROW(PT!B36)</f>
        <v>36</v>
      </c>
      <c r="O36" s="94" t="str">
        <f>PT!B36</f>
        <v>PAN BOLLERIA</v>
      </c>
      <c r="P36" s="94">
        <f>PT!C36</f>
        <v>963909</v>
      </c>
      <c r="Q36" s="94" t="str">
        <f>PT!D36</f>
        <v>Pan Artesano Blanco MM 8p 4000g CJA BIM</v>
      </c>
      <c r="R36" s="94">
        <f>N(PT!Q36)</f>
        <v>0</v>
      </c>
      <c r="S36" s="94">
        <f>N(PT!R36)/100</f>
        <v>0</v>
      </c>
      <c r="T36" s="94">
        <f t="shared" si="0"/>
        <v>0</v>
      </c>
      <c r="U36" s="94" t="str" cm="1">
        <f t="array" ref="U36">IF(T36=1,SUMPRODUCT(($T$3:$T$56=1)*($R$3:$R$56&gt;R36))+COUNTIFS($T$3:T36,1,$R$3:R36,R36),"")</f>
        <v/>
      </c>
    </row>
    <row r="37" spans="1:21" ht="30" customHeight="1" x14ac:dyDescent="0.25">
      <c r="A37" s="98">
        <f>2</f>
        <v>2</v>
      </c>
      <c r="B37" s="98" t="str">
        <f>IFERROR(INDEX($O$3:$O$56,MATCH(A37,$U$3:$U$56,0)),"")</f>
        <v>PANQUELERIA</v>
      </c>
      <c r="C37" s="98">
        <f>IFERROR(INDEX($P$3:$P$56,MATCH(A37,$U$3:$U$56,0)),"")</f>
        <v>963942</v>
      </c>
      <c r="D37" s="96" t="str">
        <f>IFERROR(INDEX($Q$3:$Q$56,MATCH(A37,$U$3:$U$56,0)),"")</f>
        <v>Ponque Redondo Vainilla 1p 200g FLOW BIM</v>
      </c>
      <c r="E37" s="106">
        <f>IFERROR(INDEX($R$3:$R$56,MATCH(A37,$U$3:$U$56,0)),0)</f>
        <v>183.5</v>
      </c>
      <c r="F37" s="97">
        <f>IFERROR(INDEX($S$3:$S$56,MATCH(A37,$U$3:$U$56,0)),0)</f>
        <v>1.171E-2</v>
      </c>
      <c r="N37" s="94">
        <f>ROW(PT!B37)</f>
        <v>37</v>
      </c>
      <c r="O37" s="94" t="str">
        <f>PT!B37</f>
        <v>PAN BOLLERIA</v>
      </c>
      <c r="P37" s="94">
        <f>PT!C37</f>
        <v>964010</v>
      </c>
      <c r="Q37" s="94" t="str">
        <f>PT!D37</f>
        <v>Pan Blanco PRO 10p 4700g CJA BIM</v>
      </c>
      <c r="R37" s="94">
        <f>N(PT!Q37)</f>
        <v>0</v>
      </c>
      <c r="S37" s="94">
        <f>N(PT!R37)/100</f>
        <v>0</v>
      </c>
      <c r="T37" s="94">
        <f t="shared" si="0"/>
        <v>0</v>
      </c>
      <c r="U37" s="94" t="str" cm="1">
        <f t="array" ref="U37">IF(T37=1,SUMPRODUCT(($T$3:$T$56=1)*($R$3:$R$56&gt;R37))+COUNTIFS($T$3:T37,1,$R$3:R37,R37),"")</f>
        <v/>
      </c>
    </row>
    <row r="38" spans="1:21" ht="30" customHeight="1" x14ac:dyDescent="0.25">
      <c r="A38" s="98">
        <f>3</f>
        <v>3</v>
      </c>
      <c r="B38" s="98" t="str">
        <f>IFERROR(INDEX($O$3:$O$56,MATCH(A38,$U$3:$U$56,0)),"")</f>
        <v>PAN BOLLERIA</v>
      </c>
      <c r="C38" s="98">
        <f>IFERROR(INDEX($P$3:$P$56,MATCH(A38,$U$3:$U$56,0)),"")</f>
        <v>506250</v>
      </c>
      <c r="D38" s="96" t="str">
        <f>IFERROR(INDEX($Q$3:$Q$56,MATCH(A38,$U$3:$U$56,0)),"")</f>
        <v>Pan Blanco PRO 1p 470g BOLSA BIM</v>
      </c>
      <c r="E38" s="106">
        <f>IFERROR(INDEX($R$3:$R$56,MATCH(A38,$U$3:$U$56,0)),0)</f>
        <v>149.4</v>
      </c>
      <c r="F38" s="97">
        <f>IFERROR(INDEX($S$3:$S$56,MATCH(A38,$U$3:$U$56,0)),0)</f>
        <v>4.3430999999999997E-2</v>
      </c>
      <c r="N38" s="94">
        <f>ROW(PT!B38)</f>
        <v>38</v>
      </c>
      <c r="O38" s="94" t="str">
        <f>PT!B38</f>
        <v>PAN BOLLERIA</v>
      </c>
      <c r="P38" s="94">
        <f>PT!C38</f>
        <v>9685</v>
      </c>
      <c r="Q38" s="94" t="str">
        <f>PT!D38</f>
        <v>Pan Hamburguesa 5in 1p 880g Bolsa BIM</v>
      </c>
      <c r="R38" s="94">
        <f>N(PT!Q38)</f>
        <v>30</v>
      </c>
      <c r="S38" s="94">
        <f>N(PT!R38)/100</f>
        <v>7.4759999999999993E-2</v>
      </c>
      <c r="T38" s="94">
        <f t="shared" si="0"/>
        <v>1</v>
      </c>
      <c r="U38" s="94" cm="1">
        <f t="array" ref="U38">IF(T38=1,SUMPRODUCT(($T$3:$T$56=1)*($R$3:$R$56&gt;R38))+COUNTIFS($T$3:T38,1,$R$3:R38,R38),"")</f>
        <v>14</v>
      </c>
    </row>
    <row r="39" spans="1:21" ht="30" customHeight="1" x14ac:dyDescent="0.25">
      <c r="A39" s="98">
        <f>4</f>
        <v>4</v>
      </c>
      <c r="B39" s="98" t="str">
        <f>IFERROR(INDEX($O$3:$O$56,MATCH(A39,$U$3:$U$56,0)),"")</f>
        <v>PAN BOLLERIA</v>
      </c>
      <c r="C39" s="98">
        <f>IFERROR(INDEX($P$3:$P$56,MATCH(A39,$U$3:$U$56,0)),"")</f>
        <v>23901</v>
      </c>
      <c r="D39" s="96" t="str">
        <f>IFERROR(INDEX($Q$3:$Q$56,MATCH(A39,$U$3:$U$56,0)),"")</f>
        <v>Pan Vital Fruticereal 1p 500g Bolsa BIM</v>
      </c>
      <c r="E39" s="106">
        <f>IFERROR(INDEX($R$3:$R$56,MATCH(A39,$U$3:$U$56,0)),0)</f>
        <v>138.5</v>
      </c>
      <c r="F39" s="97">
        <f>IFERROR(INDEX($S$3:$S$56,MATCH(A39,$U$3:$U$56,0)),0)</f>
        <v>8.959099999999999E-2</v>
      </c>
      <c r="N39" s="94">
        <f>ROW(PT!B39)</f>
        <v>39</v>
      </c>
      <c r="O39" s="94" t="str">
        <f>PT!B39</f>
        <v>PAN BOLLERIA</v>
      </c>
      <c r="P39" s="94">
        <f>PT!C39</f>
        <v>29580</v>
      </c>
      <c r="Q39" s="94" t="str">
        <f>PT!D39</f>
        <v>Pan Artesano Blanco 1p 500g Bolsa BIM</v>
      </c>
      <c r="R39" s="94">
        <f>N(PT!Q39)</f>
        <v>8</v>
      </c>
      <c r="S39" s="94">
        <f>N(PT!R39)/100</f>
        <v>1</v>
      </c>
      <c r="T39" s="94">
        <f t="shared" si="0"/>
        <v>1</v>
      </c>
      <c r="U39" s="94" cm="1">
        <f t="array" ref="U39">IF(T39=1,SUMPRODUCT(($T$3:$T$56=1)*($R$3:$R$56&gt;R39))+COUNTIFS($T$3:T39,1,$R$3:R39,R39),"")</f>
        <v>24</v>
      </c>
    </row>
    <row r="40" spans="1:21" ht="30" customHeight="1" x14ac:dyDescent="0.25">
      <c r="A40" s="98">
        <f>5</f>
        <v>5</v>
      </c>
      <c r="B40" s="98" t="str">
        <f>IFERROR(INDEX($O$3:$O$56,MATCH(A40,$U$3:$U$56,0)),"")</f>
        <v>PAN BOLLERIA</v>
      </c>
      <c r="C40" s="98">
        <f>IFERROR(INDEX($P$3:$P$56,MATCH(A40,$U$3:$U$56,0)),"")</f>
        <v>505976</v>
      </c>
      <c r="D40" s="96" t="str">
        <f>IFERROR(INDEX($Q$3:$Q$56,MATCH(A40,$U$3:$U$56,0)),"")</f>
        <v>Pan Blanco 1p 450g BOLSA LAL</v>
      </c>
      <c r="E40" s="106">
        <f>IFERROR(INDEX($R$3:$R$56,MATCH(A40,$U$3:$U$56,0)),0)</f>
        <v>112.48</v>
      </c>
      <c r="F40" s="97">
        <f>IFERROR(INDEX($S$3:$S$56,MATCH(A40,$U$3:$U$56,0)),0)</f>
        <v>3.3647999999999997E-2</v>
      </c>
      <c r="N40" s="94">
        <f>ROW(PT!B40)</f>
        <v>40</v>
      </c>
      <c r="O40" s="94" t="str">
        <f>PT!B40</f>
        <v>PAN BOLLERIA</v>
      </c>
      <c r="P40" s="94">
        <f>PT!C40</f>
        <v>39707</v>
      </c>
      <c r="Q40" s="94" t="str">
        <f>PT!D40</f>
        <v>Pan Integral 1p 570g Bolsa LAL</v>
      </c>
      <c r="R40" s="94">
        <f>N(PT!Q40)</f>
        <v>17.91</v>
      </c>
      <c r="S40" s="94">
        <f>N(PT!R40)/100</f>
        <v>1</v>
      </c>
      <c r="T40" s="94">
        <f t="shared" si="0"/>
        <v>1</v>
      </c>
      <c r="U40" s="94" cm="1">
        <f t="array" ref="U40">IF(T40=1,SUMPRODUCT(($T$3:$T$56=1)*($R$3:$R$56&gt;R40))+COUNTIFS($T$3:T40,1,$R$3:R40,R40),"")</f>
        <v>17</v>
      </c>
    </row>
    <row r="41" spans="1:21" ht="15" customHeight="1" x14ac:dyDescent="0.25">
      <c r="N41" s="94">
        <f>ROW(PT!B41)</f>
        <v>41</v>
      </c>
      <c r="O41" s="94">
        <f>PT!B41</f>
        <v>0</v>
      </c>
      <c r="P41" s="94">
        <f>PT!C41</f>
        <v>0</v>
      </c>
      <c r="Q41" s="94">
        <f>PT!D41</f>
        <v>0</v>
      </c>
      <c r="R41" s="94">
        <f>N(PT!Q41)</f>
        <v>0</v>
      </c>
      <c r="S41" s="94">
        <f>N(PT!R41)/100</f>
        <v>0</v>
      </c>
      <c r="T41" s="94">
        <f t="shared" si="0"/>
        <v>0</v>
      </c>
      <c r="U41" s="94" t="str" cm="1">
        <f t="array" ref="U41">IF(T41=1,SUMPRODUCT(($T$3:$T$56=1)*($R$3:$R$56&gt;R41))+COUNTIFS($T$3:T41,1,$R$3:R41,R41),"")</f>
        <v/>
      </c>
    </row>
    <row r="42" spans="1:21" ht="15" customHeight="1" x14ac:dyDescent="0.25">
      <c r="N42" s="94">
        <f>ROW(PT!B42)</f>
        <v>42</v>
      </c>
      <c r="O42" s="94" t="str">
        <f>PT!B42</f>
        <v>PAN BOLLERIA</v>
      </c>
      <c r="P42" s="94" t="str">
        <f>PT!C42</f>
        <v>Total</v>
      </c>
      <c r="Q42" s="94">
        <f>PT!D42</f>
        <v>0</v>
      </c>
      <c r="R42" s="94">
        <f>N(PT!Q42)</f>
        <v>1170.78</v>
      </c>
      <c r="S42" s="94">
        <f>N(PT!R42)/100</f>
        <v>1.5328E-2</v>
      </c>
      <c r="T42" s="94">
        <f t="shared" si="0"/>
        <v>0</v>
      </c>
      <c r="U42" s="94" t="str" cm="1">
        <f t="array" ref="U42">IF(T42=1,SUMPRODUCT(($T$3:$T$56=1)*($R$3:$R$56&gt;R42))+COUNTIFS($T$3:T42,1,$R$3:R42,R42),"")</f>
        <v/>
      </c>
    </row>
    <row r="43" spans="1:21" ht="20.100000000000001" customHeight="1" x14ac:dyDescent="0.25">
      <c r="A43" s="135" t="s">
        <v>394</v>
      </c>
      <c r="B43" s="135"/>
      <c r="C43" s="135"/>
      <c r="D43" s="135"/>
      <c r="E43" s="135"/>
      <c r="F43" s="135"/>
      <c r="G43" s="135"/>
      <c r="H43" s="135"/>
      <c r="N43" s="94">
        <f>ROW(PT!B43)</f>
        <v>43</v>
      </c>
      <c r="O43" s="94" t="str">
        <f>PT!B43</f>
        <v>PANQUELERIA</v>
      </c>
      <c r="P43" s="94">
        <f>PT!C43</f>
        <v>27487</v>
      </c>
      <c r="Q43" s="94" t="str">
        <f>PT!D43</f>
        <v>Panque Vainilla 1p 60g FLOW BIM</v>
      </c>
      <c r="R43" s="94">
        <f>N(PT!Q43)</f>
        <v>77</v>
      </c>
      <c r="S43" s="94">
        <f>N(PT!R43)/100</f>
        <v>4.6115000000000003E-2</v>
      </c>
      <c r="T43" s="94">
        <f t="shared" si="0"/>
        <v>1</v>
      </c>
      <c r="U43" s="94" cm="1">
        <f t="array" ref="U43">IF(T43=1,SUMPRODUCT(($T$3:$T$56=1)*($R$3:$R$56&gt;R43))+COUNTIFS($T$3:T43,1,$R$3:R43,R43),"")</f>
        <v>9</v>
      </c>
    </row>
    <row r="44" spans="1:21" ht="30" customHeight="1" x14ac:dyDescent="0.25">
      <c r="A44" s="95" t="s">
        <v>35</v>
      </c>
      <c r="B44" s="95" t="s">
        <v>375</v>
      </c>
      <c r="C44" s="95" t="s">
        <v>373</v>
      </c>
      <c r="D44" s="95" t="s">
        <v>374</v>
      </c>
      <c r="E44" s="95" t="s">
        <v>376</v>
      </c>
      <c r="F44" s="95" t="s">
        <v>364</v>
      </c>
      <c r="G44" s="95" t="s">
        <v>403</v>
      </c>
      <c r="N44" s="94">
        <f>ROW(PT!B44)</f>
        <v>44</v>
      </c>
      <c r="O44" s="94" t="str">
        <f>PT!B44</f>
        <v>PANQUELERIA</v>
      </c>
      <c r="P44" s="94">
        <f>PT!C44</f>
        <v>963942</v>
      </c>
      <c r="Q44" s="94" t="str">
        <f>PT!D44</f>
        <v>Ponque Redondo Vainilla 1p 200g FLOW BIM</v>
      </c>
      <c r="R44" s="94">
        <f>N(PT!Q44)</f>
        <v>183.5</v>
      </c>
      <c r="S44" s="94">
        <f>N(PT!R44)/100</f>
        <v>1.171E-2</v>
      </c>
      <c r="T44" s="94">
        <f t="shared" si="0"/>
        <v>1</v>
      </c>
      <c r="U44" s="94" cm="1">
        <f t="array" ref="U44">IF(T44=1,SUMPRODUCT(($T$3:$T$56=1)*($R$3:$R$56&gt;R44))+COUNTIFS($T$3:T44,1,$R$3:R44,R44),"")</f>
        <v>2</v>
      </c>
    </row>
    <row r="45" spans="1:21" ht="18" customHeight="1" x14ac:dyDescent="0.25">
      <c r="A45" s="98" t="str">
        <f>UPPER('OEE2'!D3)</f>
        <v>PAN BOLLERIA</v>
      </c>
      <c r="B45" s="106">
        <f>SUMIFS(PT!$L:$L,PT!$B:$B,$A45,PT!$C:$C,"Total")</f>
        <v>75.206940000000003</v>
      </c>
      <c r="C45" s="106">
        <f>SUMIFS(PT!$Q:$Q,PT!$B:$B,$A45,PT!$C:$C,"Total")</f>
        <v>1170.78</v>
      </c>
      <c r="D45" s="97">
        <f>SUMIFS(PT!$R:$R,PT!$B:$B,$A45,PT!$C:$C,"Total")/100</f>
        <v>1.5328E-2</v>
      </c>
      <c r="E45" s="106">
        <f>SUMIFS(PT!$U:$U,PT!$B:$B,$A45,PT!$C:$C,"Total")</f>
        <v>555</v>
      </c>
      <c r="F45" s="100">
        <f>IFERROR(SUMIFS(PT!$W:$W,PT!$B:$B,$A45,PT!$C:$C,"Total")/C45,0)</f>
        <v>0.52595705427151129</v>
      </c>
      <c r="G45" s="98" t="str">
        <f>IF(D45&lt;=RESUMEN!H7/100,"CUMPLE","ALERTA")</f>
        <v>CUMPLE</v>
      </c>
      <c r="N45" s="94">
        <f>ROW(PT!B45)</f>
        <v>45</v>
      </c>
      <c r="O45" s="94">
        <f>PT!B45</f>
        <v>0</v>
      </c>
      <c r="P45" s="94">
        <f>PT!C45</f>
        <v>0</v>
      </c>
      <c r="Q45" s="94">
        <f>PT!D45</f>
        <v>0</v>
      </c>
      <c r="R45" s="94">
        <f>N(PT!Q45)</f>
        <v>0</v>
      </c>
      <c r="S45" s="94">
        <f>N(PT!R45)/100</f>
        <v>0</v>
      </c>
      <c r="T45" s="94">
        <f t="shared" si="0"/>
        <v>0</v>
      </c>
      <c r="U45" s="94" t="str" cm="1">
        <f t="array" ref="U45">IF(T45=1,SUMPRODUCT(($T$3:$T$56=1)*($R$3:$R$56&gt;R45))+COUNTIFS($T$3:T45,1,$R$3:R45,R45),"")</f>
        <v/>
      </c>
    </row>
    <row r="46" spans="1:21" ht="18" customHeight="1" x14ac:dyDescent="0.25">
      <c r="A46" s="98" t="str">
        <f>UPPER('OEE2'!D4)</f>
        <v>PANQUELERIA</v>
      </c>
      <c r="B46" s="106">
        <f>SUMIFS(PT!$L:$L,PT!$B:$B,$A46,PT!$C:$C,"Total")</f>
        <v>17.079239999999999</v>
      </c>
      <c r="C46" s="106">
        <f>SUMIFS(PT!$Q:$Q,PT!$B:$B,$A46,PT!$C:$C,"Total")</f>
        <v>260.5</v>
      </c>
      <c r="D46" s="97">
        <f>SUMIFS(PT!$R:$R,PT!$B:$B,$A46,PT!$C:$C,"Total")/100</f>
        <v>1.5023E-2</v>
      </c>
      <c r="E46" s="106">
        <f>SUMIFS(PT!$U:$U,PT!$B:$B,$A46,PT!$C:$C,"Total")</f>
        <v>86.5</v>
      </c>
      <c r="F46" s="100">
        <f>IFERROR(SUMIFS(PT!$W:$W,PT!$B:$B,$A46,PT!$C:$C,"Total")/C46,0)</f>
        <v>0.66794625719769674</v>
      </c>
      <c r="G46" s="98" t="str">
        <f>IF(D46&lt;=RESUMEN!H8/100,"CUMPLE","ALERTA")</f>
        <v>CUMPLE</v>
      </c>
      <c r="N46" s="94">
        <f>ROW(PT!B46)</f>
        <v>46</v>
      </c>
      <c r="O46" s="94">
        <f>PT!B46</f>
        <v>0</v>
      </c>
      <c r="P46" s="94">
        <f>PT!C46</f>
        <v>0</v>
      </c>
      <c r="Q46" s="94">
        <f>PT!D46</f>
        <v>0</v>
      </c>
      <c r="R46" s="94">
        <f>N(PT!Q46)</f>
        <v>0</v>
      </c>
      <c r="S46" s="94">
        <f>N(PT!R46)/100</f>
        <v>0</v>
      </c>
      <c r="T46" s="94">
        <f t="shared" si="0"/>
        <v>0</v>
      </c>
      <c r="U46" s="94" t="str" cm="1">
        <f t="array" ref="U46">IF(T46=1,SUMPRODUCT(($T$3:$T$56=1)*($R$3:$R$56&gt;R46))+COUNTIFS($T$3:T46,1,$R$3:R46,R46),"")</f>
        <v/>
      </c>
    </row>
    <row r="47" spans="1:21" ht="18" customHeight="1" x14ac:dyDescent="0.25">
      <c r="A47" s="98" t="str">
        <f>UPPER('OEE2'!D5)</f>
        <v>TORTILLAS</v>
      </c>
      <c r="B47" s="106">
        <f>SUMIFS(PT!$L:$L,PT!$B:$B,$A47,PT!$C:$C,"Total")</f>
        <v>12.843030000000001</v>
      </c>
      <c r="C47" s="106">
        <f>SUMIFS(PT!$Q:$Q,PT!$B:$B,$A47,PT!$C:$C,"Total")</f>
        <v>35.5</v>
      </c>
      <c r="D47" s="97">
        <f>SUMIFS(PT!$R:$R,PT!$B:$B,$A47,PT!$C:$C,"Total")/100</f>
        <v>2.7560000000000002E-3</v>
      </c>
      <c r="E47" s="106">
        <f>SUMIFS(PT!$U:$U,PT!$B:$B,$A47,PT!$C:$C,"Total")</f>
        <v>23</v>
      </c>
      <c r="F47" s="100">
        <f>IFERROR(SUMIFS(PT!$W:$W,PT!$B:$B,$A47,PT!$C:$C,"Total")/C47,0)</f>
        <v>0.352112676056338</v>
      </c>
      <c r="G47" s="98" t="str">
        <f>IF(D47&lt;=RESUMEN!H9/100,"CUMPLE","ALERTA")</f>
        <v>CUMPLE</v>
      </c>
      <c r="N47" s="94">
        <f>ROW(PT!B47)</f>
        <v>47</v>
      </c>
      <c r="O47" s="94" t="str">
        <f>PT!B47</f>
        <v>PANQUELERIA</v>
      </c>
      <c r="P47" s="94" t="str">
        <f>PT!C47</f>
        <v>Total</v>
      </c>
      <c r="Q47" s="94">
        <f>PT!D47</f>
        <v>0</v>
      </c>
      <c r="R47" s="94">
        <f>N(PT!Q47)</f>
        <v>260.5</v>
      </c>
      <c r="S47" s="94">
        <f>N(PT!R47)/100</f>
        <v>1.5023E-2</v>
      </c>
      <c r="T47" s="94">
        <f t="shared" si="0"/>
        <v>0</v>
      </c>
      <c r="U47" s="94" t="str" cm="1">
        <f t="array" ref="U47">IF(T47=1,SUMPRODUCT(($T$3:$T$56=1)*($R$3:$R$56&gt;R47))+COUNTIFS($T$3:T47,1,$R$3:R47,R47),"")</f>
        <v/>
      </c>
    </row>
    <row r="48" spans="1:21" ht="18" customHeight="1" x14ac:dyDescent="0.25">
      <c r="A48" s="103" t="str">
        <f>"PLANTA"</f>
        <v>PLANTA</v>
      </c>
      <c r="B48" s="107">
        <f>SUMIFS(PT!$L:$L,PT!$B:$B,"PLANTA",PT!$C:$C,"Total")</f>
        <v>105.12921</v>
      </c>
      <c r="C48" s="107">
        <f>SUMIFS(PT!$Q:$Q,PT!$B:$B,"PLANTA",PT!$C:$C,"Total")</f>
        <v>1466.78</v>
      </c>
      <c r="D48" s="108">
        <f>SUMIFS(PT!$R:$R,PT!$B:$B,"PLANTA",PT!$C:$C,"Total")/100</f>
        <v>1.376E-2</v>
      </c>
      <c r="E48" s="107">
        <f>SUMIFS(PT!$U:$U,PT!$B:$B,"PLANTA",PT!$C:$C,"Total")</f>
        <v>664.5</v>
      </c>
      <c r="F48" s="104">
        <f>$B$12</f>
        <v>0.54696682529077301</v>
      </c>
      <c r="G48" s="103" t="str">
        <f>IF(D48&lt;=$C$10,"CUMPLE","ALERTA")</f>
        <v>CUMPLE</v>
      </c>
      <c r="N48" s="94">
        <f>ROW(PT!B48)</f>
        <v>48</v>
      </c>
      <c r="O48" s="94" t="str">
        <f>PT!B48</f>
        <v>TORTILLAS</v>
      </c>
      <c r="P48" s="94">
        <f>PT!C48</f>
        <v>1649</v>
      </c>
      <c r="Q48" s="94" t="str">
        <f>PT!D48</f>
        <v>Tortillas Trigo 1p 250g Bolsa TR</v>
      </c>
      <c r="R48" s="94">
        <f>N(PT!Q48)</f>
        <v>2.5</v>
      </c>
      <c r="S48" s="94">
        <f>N(PT!R48)/100</f>
        <v>1.2939999999999998E-3</v>
      </c>
      <c r="T48" s="94">
        <f t="shared" si="0"/>
        <v>1</v>
      </c>
      <c r="U48" s="94" cm="1">
        <f t="array" ref="U48">IF(T48=1,SUMPRODUCT(($T$3:$T$56=1)*($R$3:$R$56&gt;R48))+COUNTIFS($T$3:T48,1,$R$3:R48,R48),"")</f>
        <v>28</v>
      </c>
    </row>
    <row r="49" spans="1:21" ht="15" customHeight="1" x14ac:dyDescent="0.25">
      <c r="N49" s="94">
        <f>ROW(PT!B49)</f>
        <v>49</v>
      </c>
      <c r="O49" s="94" t="str">
        <f>PT!B49</f>
        <v>TORTILLAS</v>
      </c>
      <c r="P49" s="94">
        <f>PT!C49</f>
        <v>26504</v>
      </c>
      <c r="Q49" s="94" t="str">
        <f>PT!D49</f>
        <v>Tortillas Blancas 1p 450g Bolsa BIM</v>
      </c>
      <c r="R49" s="94">
        <f>N(PT!Q49)</f>
        <v>4.5</v>
      </c>
      <c r="S49" s="94">
        <f>N(PT!R49)/100</f>
        <v>2.6690000000000004E-3</v>
      </c>
      <c r="T49" s="94">
        <f t="shared" si="0"/>
        <v>1</v>
      </c>
      <c r="U49" s="94" cm="1">
        <f t="array" ref="U49">IF(T49=1,SUMPRODUCT(($T$3:$T$56=1)*($R$3:$R$56&gt;R49))+COUNTIFS($T$3:T49,1,$R$3:R49,R49),"")</f>
        <v>26</v>
      </c>
    </row>
    <row r="50" spans="1:21" ht="15" customHeight="1" x14ac:dyDescent="0.25">
      <c r="N50" s="94">
        <f>ROW(PT!B50)</f>
        <v>50</v>
      </c>
      <c r="O50" s="94" t="str">
        <f>PT!B50</f>
        <v>TORTILLAS</v>
      </c>
      <c r="P50" s="94">
        <f>PT!C50</f>
        <v>29074</v>
      </c>
      <c r="Q50" s="94" t="str">
        <f>PT!D50</f>
        <v>Tortillas Blancas 1p 240g Bolsa BIM</v>
      </c>
      <c r="R50" s="94">
        <f>N(PT!Q50)</f>
        <v>7</v>
      </c>
      <c r="S50" s="94">
        <f>N(PT!R50)/100</f>
        <v>1.905E-3</v>
      </c>
      <c r="T50" s="94">
        <f t="shared" si="0"/>
        <v>1</v>
      </c>
      <c r="U50" s="94" cm="1">
        <f t="array" ref="U50">IF(T50=1,SUMPRODUCT(($T$3:$T$56=1)*($R$3:$R$56&gt;R50))+COUNTIFS($T$3:T50,1,$R$3:R50,R50),"")</f>
        <v>25</v>
      </c>
    </row>
    <row r="51" spans="1:21" ht="20.100000000000001" customHeight="1" x14ac:dyDescent="0.25">
      <c r="A51" s="135" t="s">
        <v>353</v>
      </c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94">
        <f>ROW(PT!B51)</f>
        <v>51</v>
      </c>
      <c r="O51" s="94" t="str">
        <f>PT!B51</f>
        <v>TORTILLAS</v>
      </c>
      <c r="P51" s="94">
        <f>PT!C51</f>
        <v>49271</v>
      </c>
      <c r="Q51" s="94" t="str">
        <f>PT!D51</f>
        <v>Tortillas Crachos Bla 18p 6480g CJA NP</v>
      </c>
      <c r="R51" s="94">
        <f>N(PT!Q51)</f>
        <v>17</v>
      </c>
      <c r="S51" s="94">
        <f>N(PT!R51)/100</f>
        <v>3.5999999999999999E-3</v>
      </c>
      <c r="T51" s="94">
        <f t="shared" si="0"/>
        <v>1</v>
      </c>
      <c r="U51" s="94" cm="1">
        <f t="array" ref="U51">IF(T51=1,SUMPRODUCT(($T$3:$T$56=1)*($R$3:$R$56&gt;R51))+COUNTIFS($T$3:T51,1,$R$3:R51,R51),"")</f>
        <v>18</v>
      </c>
    </row>
    <row r="52" spans="1:21" ht="15.6" customHeight="1" x14ac:dyDescent="0.25">
      <c r="A52" s="98">
        <v>1</v>
      </c>
      <c r="B52" s="98" t="str">
        <f>SUBSTITUTE(PROPER(B36),"Bolleria","Bollería")&amp;" / producto"</f>
        <v>Pan Bollería / producto</v>
      </c>
      <c r="C52" s="136" t="str">
        <f>"Reducir el desperdicio del producto "&amp;$C$36&amp;" ("&amp;$D$36&amp;") en "&amp;TEXT(MAX(0,$E$36-(INDEX(PT!$L:$L,MATCH($C$36,PT!$C:$C,0))*1000*$C$10/(1-$C$10))),"0.0")&amp;" kg: pasar de "&amp;TEXT($E$36,"0.0")&amp;" kg a un máximo de "&amp;TEXT(INDEX(PT!$L:$L,MATCH($C$36,PT!$C:$C,0))*1000*$C$10/(1-$C$10),"0.0")&amp;" kg para alcanzar la meta de desperdicio."</f>
        <v>Reducir el desperdicio del producto 26475 (Pan Mantequilla 1p 550g Bolsa LAL) en 137.4 kg: pasar de 185.9 kg a un máximo de 48.5 kg para alcanzar la meta de desperdicio.</v>
      </c>
      <c r="D52" s="136"/>
      <c r="E52" s="136"/>
      <c r="F52" s="136"/>
      <c r="G52" s="136"/>
      <c r="H52" s="136"/>
      <c r="I52" s="136"/>
      <c r="J52" s="136"/>
      <c r="K52" s="136"/>
      <c r="L52" s="136"/>
      <c r="M52" s="136"/>
      <c r="N52" s="94">
        <f>ROW(PT!B52)</f>
        <v>52</v>
      </c>
      <c r="O52" s="94" t="str">
        <f>PT!B52</f>
        <v>TORTILLAS</v>
      </c>
      <c r="P52" s="94">
        <f>PT!C52</f>
        <v>500498</v>
      </c>
      <c r="Q52" s="94" t="str">
        <f>PT!D52</f>
        <v>Tortillas Blancas 1p 660g Bolsa BIM</v>
      </c>
      <c r="R52" s="94">
        <f>N(PT!Q52)</f>
        <v>0</v>
      </c>
      <c r="S52" s="94">
        <f>N(PT!R52)/100</f>
        <v>0</v>
      </c>
      <c r="T52" s="94">
        <f t="shared" si="0"/>
        <v>0</v>
      </c>
      <c r="U52" s="94" t="str" cm="1">
        <f t="array" ref="U52">IF(T52=1,SUMPRODUCT(($T$3:$T$56=1)*($R$3:$R$56&gt;R52))+COUNTIFS($T$3:T52,1,$R$3:R52,R52),"")</f>
        <v/>
      </c>
    </row>
    <row r="53" spans="1:21" ht="15.6" customHeight="1" x14ac:dyDescent="0.25">
      <c r="A53" s="98">
        <v>2</v>
      </c>
      <c r="B53" s="98" t="s">
        <v>377</v>
      </c>
      <c r="C53" s="136" t="str">
        <f>"Recuperar al menos "&amp;TEXT(MAX(0,$C$19*'OEE2'!E6-'OEE2'!I6),"0.00")&amp;" h de las "&amp;TEXT('OEE2'!F6,"0.00")&amp;" h sin pedido; priorizar Panquelería ("&amp;TEXT('OEE2'!F4,"0.00")&amp;" h, "&amp;TEXT('OEE2'!F4/'OEE2'!F6,"0.0%")&amp;" del total) para elevar la capacidad utilizada a "&amp;TEXT($C$19,"0.0%")&amp;"."</f>
        <v>Recuperar al menos 73.64 h de las 315.53 h sin pedido; priorizar Panquelería (126.59 h, 40.1% del total) para elevar la capacidad utilizada a 50.0%.</v>
      </c>
      <c r="D53" s="136"/>
      <c r="E53" s="136"/>
      <c r="F53" s="136"/>
      <c r="G53" s="136"/>
      <c r="H53" s="136"/>
      <c r="I53" s="136"/>
      <c r="J53" s="136"/>
      <c r="K53" s="136"/>
      <c r="L53" s="136"/>
      <c r="M53" s="136"/>
      <c r="N53" s="94">
        <f>ROW(PT!B53)</f>
        <v>53</v>
      </c>
      <c r="O53" s="94" t="str">
        <f>PT!B53</f>
        <v>TORTILLAS</v>
      </c>
      <c r="P53" s="94">
        <f>PT!C53</f>
        <v>5490</v>
      </c>
      <c r="Q53" s="94" t="str">
        <f>PT!D53</f>
        <v>Tortillas Integrales 1p 250g Bolsa BIM</v>
      </c>
      <c r="R53" s="94">
        <f>N(PT!Q53)</f>
        <v>4.5</v>
      </c>
      <c r="S53" s="94">
        <f>N(PT!R53)/100</f>
        <v>6.7320000000000001E-3</v>
      </c>
      <c r="T53" s="94">
        <f t="shared" si="0"/>
        <v>1</v>
      </c>
      <c r="U53" s="94" cm="1">
        <f t="array" ref="U53">IF(T53=1,SUMPRODUCT(($T$3:$T$56=1)*($R$3:$R$56&gt;R53))+COUNTIFS($T$3:T53,1,$R$3:R53,R53),"")</f>
        <v>27</v>
      </c>
    </row>
    <row r="54" spans="1:21" ht="15.6" customHeight="1" x14ac:dyDescent="0.25">
      <c r="A54" s="98">
        <v>3</v>
      </c>
      <c r="B54" s="98" t="s">
        <v>395</v>
      </c>
      <c r="C54" s="136" t="str">
        <f>IF('OEE2'!P6&gt;0,"Clasificar inmediatamente las "&amp;TEXT('OEE2'!P6,"0.00")&amp;" h registradas como Sin clasificar; asignar responsable por línea y cerrar el valor en 0 antes del siguiente reporte.","Cerrar la brecha OEE2 de Pan bollería de "&amp;TEXT(MAX(0,RESUMEN!M7/100-$D$23),"0.0%")&amp;" frente a su meta de "&amp;TEXT(RESUMEN!M7/100,"0.0%")&amp;"; reducir 50% ("&amp;TEXT(('OEE2'!N3+'OEE2'!L3)*0.5,"0.00")&amp;" h) de reducción de ritmo y mecánicos.")</f>
        <v>Cerrar la brecha OEE2 de Pan bollería de 0.0% frente a su meta de 84.0%; reducir 50% (1.06 h) de reducción de ritmo y mecánicos.</v>
      </c>
      <c r="D54" s="136"/>
      <c r="E54" s="136"/>
      <c r="F54" s="136"/>
      <c r="G54" s="136"/>
      <c r="H54" s="136"/>
      <c r="I54" s="136"/>
      <c r="J54" s="136"/>
      <c r="K54" s="136"/>
      <c r="L54" s="136"/>
      <c r="M54" s="136"/>
      <c r="N54" s="94">
        <f>ROW(PT!B54)</f>
        <v>54</v>
      </c>
      <c r="O54" s="94">
        <f>PT!B54</f>
        <v>0</v>
      </c>
      <c r="P54" s="94">
        <f>PT!C54</f>
        <v>0</v>
      </c>
      <c r="Q54" s="94">
        <f>PT!D54</f>
        <v>0</v>
      </c>
      <c r="R54" s="94">
        <f>N(PT!Q54)</f>
        <v>0</v>
      </c>
      <c r="S54" s="94">
        <f>N(PT!R54)/100</f>
        <v>0</v>
      </c>
      <c r="T54" s="94">
        <f t="shared" si="0"/>
        <v>0</v>
      </c>
      <c r="U54" s="94" t="str" cm="1">
        <f t="array" ref="U54">IF(T54=1,SUMPRODUCT(($T$3:$T$56=1)*($R$3:$R$56&gt;R54))+COUNTIFS($T$3:T54,1,$R$3:R54,R54),"")</f>
        <v/>
      </c>
    </row>
    <row r="55" spans="1:21" x14ac:dyDescent="0.25">
      <c r="N55" s="94">
        <f>ROW(PT!B55)</f>
        <v>55</v>
      </c>
      <c r="O55" s="94">
        <f>PT!B55</f>
        <v>0</v>
      </c>
      <c r="P55" s="94">
        <f>PT!C55</f>
        <v>0</v>
      </c>
      <c r="Q55" s="94">
        <f>PT!D55</f>
        <v>0</v>
      </c>
      <c r="R55" s="94">
        <f>N(PT!Q55)</f>
        <v>0</v>
      </c>
      <c r="S55" s="94">
        <f>N(PT!R55)/100</f>
        <v>0</v>
      </c>
      <c r="T55" s="94">
        <f t="shared" si="0"/>
        <v>0</v>
      </c>
      <c r="U55" s="94" t="str" cm="1">
        <f t="array" ref="U55">IF(T55=1,SUMPRODUCT(($T$3:$T$56=1)*($R$3:$R$56&gt;R55))+COUNTIFS($T$3:T55,1,$R$3:R55,R55),"")</f>
        <v/>
      </c>
    </row>
    <row r="56" spans="1:21" ht="24" customHeight="1" x14ac:dyDescent="0.25">
      <c r="A56" s="124" t="s">
        <v>408</v>
      </c>
      <c r="B56" s="124"/>
      <c r="C56" s="124"/>
      <c r="D56" s="124"/>
      <c r="E56" s="124"/>
      <c r="F56" s="124"/>
      <c r="G56" s="124"/>
      <c r="H56" s="124"/>
      <c r="J56" s="124" t="s">
        <v>413</v>
      </c>
      <c r="K56" s="124"/>
      <c r="L56" s="124"/>
      <c r="M56" s="124"/>
      <c r="N56" s="94">
        <f>ROW(PT!B56)</f>
        <v>56</v>
      </c>
      <c r="O56" s="94">
        <f>PT!B56</f>
        <v>0</v>
      </c>
      <c r="P56" s="94">
        <f>PT!C56</f>
        <v>0</v>
      </c>
      <c r="Q56" s="94">
        <f>PT!D56</f>
        <v>0</v>
      </c>
      <c r="R56" s="94">
        <f>N(PT!Q56)</f>
        <v>0</v>
      </c>
      <c r="S56" s="94">
        <f>N(PT!R56)/100</f>
        <v>0</v>
      </c>
      <c r="T56" s="94">
        <f t="shared" si="0"/>
        <v>0</v>
      </c>
      <c r="U56" s="94" t="str" cm="1">
        <f t="array" ref="U56">IF(T56=1,SUMPRODUCT(($T$3:$T$56=1)*($R$3:$R$56&gt;R56))+COUNTIFS($T$3:T56,1,$R$3:R56,R56),"")</f>
        <v/>
      </c>
    </row>
    <row r="57" spans="1:21" ht="31.5" x14ac:dyDescent="0.25">
      <c r="A57" s="95" t="s">
        <v>409</v>
      </c>
      <c r="B57" s="137" t="s">
        <v>410</v>
      </c>
      <c r="C57" s="137"/>
      <c r="D57" s="137"/>
      <c r="E57" s="137"/>
      <c r="F57" s="95" t="s">
        <v>411</v>
      </c>
      <c r="G57" s="95" t="s">
        <v>359</v>
      </c>
      <c r="H57" s="95" t="s">
        <v>412</v>
      </c>
    </row>
    <row r="58" spans="1:21" ht="32.1" customHeight="1" x14ac:dyDescent="0.25">
      <c r="A58" s="109"/>
      <c r="B58" s="138"/>
      <c r="C58" s="138"/>
      <c r="D58" s="138"/>
      <c r="E58" s="138"/>
      <c r="F58" s="110"/>
      <c r="G58" s="109"/>
      <c r="H58" s="109"/>
      <c r="J58" s="125" t="s">
        <v>414</v>
      </c>
      <c r="K58" s="126"/>
      <c r="L58" s="126"/>
      <c r="M58" s="127"/>
    </row>
    <row r="59" spans="1:21" ht="32.1" customHeight="1" x14ac:dyDescent="0.25">
      <c r="A59" s="109"/>
      <c r="B59" s="138"/>
      <c r="C59" s="138"/>
      <c r="D59" s="138"/>
      <c r="E59" s="138"/>
      <c r="F59" s="110"/>
      <c r="G59" s="109"/>
      <c r="H59" s="109"/>
      <c r="J59" s="128"/>
      <c r="K59" s="129"/>
      <c r="L59" s="129"/>
      <c r="M59" s="130"/>
    </row>
    <row r="60" spans="1:21" ht="32.1" customHeight="1" x14ac:dyDescent="0.25">
      <c r="A60" s="109"/>
      <c r="B60" s="138"/>
      <c r="C60" s="138"/>
      <c r="D60" s="138"/>
      <c r="E60" s="138"/>
      <c r="F60" s="110"/>
      <c r="G60" s="109"/>
      <c r="H60" s="109"/>
      <c r="J60" s="131"/>
      <c r="K60" s="132"/>
      <c r="L60" s="132"/>
      <c r="M60" s="133"/>
    </row>
    <row r="61" spans="1:21" ht="32.1" customHeight="1" x14ac:dyDescent="0.25">
      <c r="A61" s="109"/>
      <c r="B61" s="138"/>
      <c r="C61" s="138"/>
      <c r="D61" s="138"/>
      <c r="E61" s="138"/>
      <c r="F61" s="110"/>
      <c r="G61" s="109"/>
      <c r="H61" s="109"/>
      <c r="J61" s="134" t="s">
        <v>415</v>
      </c>
      <c r="K61" s="134"/>
      <c r="L61" s="134"/>
      <c r="M61" s="134"/>
    </row>
    <row r="62" spans="1:21" ht="32.1" customHeight="1" x14ac:dyDescent="0.25">
      <c r="A62" s="109"/>
      <c r="B62" s="138"/>
      <c r="C62" s="138"/>
      <c r="D62" s="138"/>
      <c r="E62" s="138"/>
      <c r="F62" s="110"/>
      <c r="G62" s="109"/>
      <c r="H62" s="109"/>
      <c r="J62" s="134"/>
      <c r="K62" s="134"/>
      <c r="L62" s="134"/>
      <c r="M62" s="134"/>
    </row>
    <row r="63" spans="1:21" ht="24" customHeight="1" x14ac:dyDescent="0.25">
      <c r="J63" s="134"/>
      <c r="K63" s="134"/>
      <c r="L63" s="134"/>
      <c r="M63" s="134"/>
    </row>
  </sheetData>
  <mergeCells count="31">
    <mergeCell ref="H7:M18"/>
    <mergeCell ref="A21:H21"/>
    <mergeCell ref="A27:H27"/>
    <mergeCell ref="A34:H34"/>
    <mergeCell ref="A43:H43"/>
    <mergeCell ref="A1:M1"/>
    <mergeCell ref="A2:M2"/>
    <mergeCell ref="J3:M3"/>
    <mergeCell ref="J4:M4"/>
    <mergeCell ref="H6:M6"/>
    <mergeCell ref="A4:C4"/>
    <mergeCell ref="D4:F4"/>
    <mergeCell ref="G4:I4"/>
    <mergeCell ref="A6:F6"/>
    <mergeCell ref="A3:C3"/>
    <mergeCell ref="D3:F3"/>
    <mergeCell ref="G3:I3"/>
    <mergeCell ref="J56:M56"/>
    <mergeCell ref="J58:M60"/>
    <mergeCell ref="J61:M63"/>
    <mergeCell ref="A51:M51"/>
    <mergeCell ref="C52:M52"/>
    <mergeCell ref="C53:M53"/>
    <mergeCell ref="C54:M54"/>
    <mergeCell ref="A56:H56"/>
    <mergeCell ref="B57:E57"/>
    <mergeCell ref="B58:E58"/>
    <mergeCell ref="B59:E59"/>
    <mergeCell ref="B60:E60"/>
    <mergeCell ref="B61:E61"/>
    <mergeCell ref="B62:E62"/>
  </mergeCells>
  <conditionalFormatting sqref="F8:F19">
    <cfRule type="expression" dxfId="9" priority="1">
      <formula>F8="CUMPLE"</formula>
    </cfRule>
    <cfRule type="expression" dxfId="8" priority="2">
      <formula>F8="ALERTA"</formula>
    </cfRule>
  </conditionalFormatting>
  <conditionalFormatting sqref="G23:G25">
    <cfRule type="expression" dxfId="7" priority="5">
      <formula>G23="CUMPLE"</formula>
    </cfRule>
    <cfRule type="expression" dxfId="6" priority="6">
      <formula>LEFT(G23,4)="BAJO"</formula>
    </cfRule>
  </conditionalFormatting>
  <conditionalFormatting sqref="G45:G48">
    <cfRule type="expression" dxfId="5" priority="3">
      <formula>G45="CUMPLE"</formula>
    </cfRule>
    <cfRule type="expression" dxfId="4" priority="4">
      <formula>G45="ALERTA"</formula>
    </cfRule>
  </conditionalFormatting>
  <conditionalFormatting sqref="H23:H26">
    <cfRule type="expression" dxfId="3" priority="7">
      <formula>ISNUMBER(SEARCH("CUMPLE",H23))</formula>
    </cfRule>
    <cfRule type="expression" dxfId="2" priority="8">
      <formula>OR(ISNUMBER(SEARCH("ALERTA",H23)),ISNUMBER(SEARCH("BAJO",H23)))</formula>
    </cfRule>
  </conditionalFormatting>
  <conditionalFormatting sqref="H29:H32">
    <cfRule type="expression" dxfId="1" priority="9">
      <formula>ISNUMBER(SEARCH("CUMPLE",H29))</formula>
    </cfRule>
    <cfRule type="expression" dxfId="0" priority="10">
      <formula>OR(ISNUMBER(SEARCH("ALERTA",H29)),ISNUMBER(SEARCH("BAJO",H29)))</formula>
    </cfRule>
  </conditionalFormatting>
  <dataValidations count="1">
    <dataValidation type="list" allowBlank="1" showInputMessage="1" showErrorMessage="1" sqref="G58:G62" xr:uid="{C7F06862-80EF-40F1-A82A-748D4AB29206}">
      <formula1>"Pendiente,En proceso,Cerrado"</formula1>
    </dataValidation>
  </dataValidations>
  <printOptions horizontalCentered="1"/>
  <pageMargins left="0.7" right="0.7" top="0.75" bottom="0.75" header="0.3" footer="0.3"/>
  <pageSetup scale="46" orientation="portrait" r:id="rId1"/>
  <colBreaks count="1" manualBreakCount="1">
    <brk id="13" max="62" man="1"/>
  </colBreaks>
  <drawing r:id="rId2"/>
</worksheet>
</file>

<file path=docMetadata/LabelInfo.xml><?xml version="1.0" encoding="utf-8"?>
<clbl:labelList xmlns:clbl="http://schemas.microsoft.com/office/2020/mipLabelMetadata">
  <clbl:label id="{5b12f818-7d26-4eab-9c63-bdc5e02b0fb1}" enabled="1" method="Privileged" siteId="{973ba820-4a58-4246-84bf-170e50b3152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</vt:i4>
      </vt:variant>
    </vt:vector>
  </HeadingPairs>
  <TitlesOfParts>
    <vt:vector size="9" baseType="lpstr">
      <vt:lpstr>OEE2</vt:lpstr>
      <vt:lpstr>R. DESPERDICIOS (2)</vt:lpstr>
      <vt:lpstr>OEE2 (FORMULA)</vt:lpstr>
      <vt:lpstr>PT</vt:lpstr>
      <vt:lpstr>PT (FORMULA)</vt:lpstr>
      <vt:lpstr>DT PPM</vt:lpstr>
      <vt:lpstr>RESUMEN</vt:lpstr>
      <vt:lpstr>INFORME EJECUTIVO</vt:lpstr>
      <vt:lpstr>'INFORME EJECUTIVO'!Área_de_impresión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FREDY ALEXANDER MENDEZ GONZALEZ</dc:creator>
  <cp:keywords/>
  <dc:description/>
  <cp:lastModifiedBy>FREDY ALEXANDER MENDEZ GONZALEZ</cp:lastModifiedBy>
  <cp:revision/>
  <cp:lastPrinted>2026-08-09T15:41:00Z</cp:lastPrinted>
  <dcterms:created xsi:type="dcterms:W3CDTF">2026-01-03T12:47:29Z</dcterms:created>
  <dcterms:modified xsi:type="dcterms:W3CDTF">2026-09-12T14:53:00Z</dcterms:modified>
  <cp:category/>
  <cp:contentStatus/>
</cp:coreProperties>
</file>